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eena\Desktop\Freelance_Data_Analyst_Portfolio\01_Retail_Sales_Analysis\dashboard\"/>
    </mc:Choice>
  </mc:AlternateContent>
  <xr:revisionPtr revIDLastSave="0" documentId="13_ncr:1_{855CEA01-C511-4577-B6C1-FF6DB1B68124}" xr6:coauthVersionLast="47" xr6:coauthVersionMax="47" xr10:uidLastSave="{00000000-0000-0000-0000-000000000000}"/>
  <bookViews>
    <workbookView xWindow="-108" yWindow="-108" windowWidth="23256" windowHeight="12456" xr2:uid="{48844206-EE42-4109-B330-BEBBA2A1DEBF}"/>
  </bookViews>
  <sheets>
    <sheet name="Sales_Dashboard" sheetId="5" r:id="rId1"/>
    <sheet name="Regional_Analysis" sheetId="3" r:id="rId2"/>
    <sheet name="Product_Analysis" sheetId="4" r:id="rId3"/>
    <sheet name="KPI Summary" sheetId="2" r:id="rId4"/>
    <sheet name="Sample_Data" sheetId="1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5" l="1"/>
  <c r="B29" i="5"/>
  <c r="B28" i="5"/>
  <c r="B26" i="5"/>
  <c r="B25" i="5"/>
  <c r="B4" i="2"/>
  <c r="B3" i="2"/>
  <c r="D4" i="5" s="1"/>
  <c r="B2" i="2"/>
  <c r="G4" i="5" l="1"/>
  <c r="B27" i="5"/>
  <c r="A4" i="5"/>
  <c r="B24" i="5" s="1"/>
  <c r="B5" i="2"/>
  <c r="J4" i="5" s="1"/>
</calcChain>
</file>

<file path=xl/sharedStrings.xml><?xml version="1.0" encoding="utf-8"?>
<sst xmlns="http://schemas.openxmlformats.org/spreadsheetml/2006/main" count="1010" uniqueCount="293">
  <si>
    <t>order_id</t>
  </si>
  <si>
    <t>date</t>
  </si>
  <si>
    <t>product</t>
  </si>
  <si>
    <t>quantity</t>
  </si>
  <si>
    <t>unit_price</t>
  </si>
  <si>
    <t>total</t>
  </si>
  <si>
    <t>region</t>
  </si>
  <si>
    <t>salesperson</t>
  </si>
  <si>
    <t>SO-1001</t>
  </si>
  <si>
    <t>Mechanical Keyboard</t>
  </si>
  <si>
    <t>North</t>
  </si>
  <si>
    <t>Sofia Kowalski</t>
  </si>
  <si>
    <t>SO-1002</t>
  </si>
  <si>
    <t>USB-C Hub</t>
  </si>
  <si>
    <t>South</t>
  </si>
  <si>
    <t>SO-1003</t>
  </si>
  <si>
    <t>Standing Desk</t>
  </si>
  <si>
    <t>Elena Cohen</t>
  </si>
  <si>
    <t>SO-1004</t>
  </si>
  <si>
    <t>Webcam 1080p</t>
  </si>
  <si>
    <t>East</t>
  </si>
  <si>
    <t>Omar Haddad</t>
  </si>
  <si>
    <t>SO-1005</t>
  </si>
  <si>
    <t>Central</t>
  </si>
  <si>
    <t>SO-1006</t>
  </si>
  <si>
    <t>Desk Lamp</t>
  </si>
  <si>
    <t>West</t>
  </si>
  <si>
    <t>SO-1007</t>
  </si>
  <si>
    <t>Cable Organizer</t>
  </si>
  <si>
    <t>TomÃ¡s Tanaka</t>
  </si>
  <si>
    <t>SO-1008</t>
  </si>
  <si>
    <t>Noise-Cancelling Headphones</t>
  </si>
  <si>
    <t>SO-1009</t>
  </si>
  <si>
    <t>Laptop Stand</t>
  </si>
  <si>
    <t>SO-1010</t>
  </si>
  <si>
    <t>Ergonomic Chair</t>
  </si>
  <si>
    <t>Priya Herrera</t>
  </si>
  <si>
    <t>SO-1011</t>
  </si>
  <si>
    <t>SO-1012</t>
  </si>
  <si>
    <t>Wireless Mouse</t>
  </si>
  <si>
    <t>Chen Bennett</t>
  </si>
  <si>
    <t>SO-1013</t>
  </si>
  <si>
    <t>SO-1014</t>
  </si>
  <si>
    <t>SO-1015</t>
  </si>
  <si>
    <t>External SSD 1TB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</si>
  <si>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</si>
  <si>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</si>
  <si>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</si>
  <si>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</si>
  <si>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</si>
  <si>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</si>
  <si>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</si>
  <si>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</si>
  <si>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</si>
  <si>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</si>
  <si>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</si>
  <si>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</si>
  <si>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</si>
  <si>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</si>
  <si>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</si>
  <si>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</si>
  <si>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</si>
  <si>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</si>
  <si>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</si>
  <si>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27-inch Monitor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</si>
  <si>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</si>
  <si>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</si>
  <si>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</si>
  <si>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</si>
  <si>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</si>
  <si>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</si>
  <si>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</si>
  <si>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</si>
  <si>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</si>
  <si>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</si>
  <si>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</si>
  <si>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</si>
  <si>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</si>
  <si>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</si>
  <si>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</si>
  <si>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</si>
  <si>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</si>
  <si>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</si>
  <si>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</si>
  <si>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</si>
  <si>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</si>
  <si>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</si>
  <si>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</si>
  <si>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</si>
  <si>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</si>
  <si>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</si>
  <si>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</si>
  <si>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</si>
  <si>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</si>
  <si>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</si>
  <si>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</si>
  <si>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</si>
  <si>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</si>
  <si>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</si>
  <si>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</si>
  <si>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</si>
  <si>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</si>
  <si>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</si>
  <si>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</si>
  <si>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</si>
  <si>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</si>
  <si>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</si>
  <si>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</si>
  <si>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</si>
  <si>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</si>
  <si>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</si>
  <si>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</si>
  <si>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</si>
  <si>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</si>
  <si>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</si>
  <si>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</si>
  <si>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</si>
  <si>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</si>
  <si>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</si>
  <si>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</si>
  <si>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</si>
  <si>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</si>
  <si>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</si>
  <si>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</si>
  <si>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</si>
  <si>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</si>
  <si>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</si>
  <si>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</si>
  <si>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</si>
  <si>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</si>
  <si>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</si>
  <si>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</si>
  <si>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</si>
  <si>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</si>
  <si>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</si>
  <si>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</si>
  <si>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</si>
  <si>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</si>
  <si>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</si>
  <si>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</si>
  <si>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</si>
  <si>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</si>
  <si>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</si>
  <si>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</si>
  <si>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</si>
  <si>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</si>
  <si>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</si>
  <si>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</si>
  <si>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</si>
  <si>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</si>
  <si>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</si>
  <si>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</si>
  <si>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</si>
  <si>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</si>
  <si>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</si>
  <si>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</si>
  <si>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</si>
  <si>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</si>
  <si>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</si>
  <si>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</si>
  <si>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</si>
  <si>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</si>
  <si>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</si>
  <si>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</si>
  <si>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</si>
  <si>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</si>
  <si>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</si>
  <si>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</si>
  <si>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</si>
  <si>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</si>
  <si>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</si>
  <si>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</si>
  <si>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</si>
  <si>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</si>
  <si>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</si>
  <si>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</si>
  <si>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</si>
  <si>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</si>
  <si>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</si>
  <si>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</si>
  <si>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</si>
  <si>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</si>
  <si>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</si>
  <si>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</si>
  <si>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</si>
  <si>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</si>
  <si>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</si>
  <si>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</si>
  <si>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</si>
  <si>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</si>
  <si>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</si>
  <si>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</si>
  <si>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</si>
  <si>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</si>
  <si>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</si>
  <si>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</si>
  <si>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</si>
  <si>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</si>
  <si>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</si>
  <si>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</si>
  <si>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</si>
  <si>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</si>
  <si>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</si>
  <si>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</si>
  <si>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</si>
  <si>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</si>
  <si>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</si>
  <si>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</si>
  <si>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</si>
  <si>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</si>
  <si>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</si>
  <si>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</si>
  <si>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</si>
  <si>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</si>
  <si>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</si>
  <si>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</si>
  <si>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</si>
  <si>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</si>
  <si>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</si>
  <si>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</si>
  <si>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</si>
  <si>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</si>
  <si>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</si>
  <si>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</si>
  <si>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</si>
  <si>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</si>
  <si>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</si>
  <si>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</si>
  <si>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</si>
  <si>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</si>
  <si>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</si>
  <si>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</si>
  <si>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</si>
  <si>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</si>
  <si>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</si>
  <si>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</si>
  <si>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</si>
  <si>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</si>
  <si>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</si>
  <si>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</si>
  <si>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</si>
  <si>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</si>
  <si>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</si>
  <si>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</si>
  <si>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</si>
  <si>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</si>
  <si>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</si>
  <si>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</si>
  <si>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</si>
  <si>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</si>
  <si>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</si>
  <si>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</si>
  <si>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</si>
  <si>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</si>
  <si>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</si>
  <si>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</si>
  <si>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</si>
  <si>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</si>
  <si>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</si>
  <si>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</si>
  <si>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</si>
  <si>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</si>
  <si>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</si>
  <si>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</si>
  <si>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</si>
  <si>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</si>
  <si>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</si>
  <si>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</si>
  <si>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</si>
  <si>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</si>
  <si>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</si>
  <si>
    <t>KPI</t>
  </si>
  <si>
    <t>Value</t>
  </si>
  <si>
    <t>Total Revenue</t>
  </si>
  <si>
    <t>Total Orders</t>
  </si>
  <si>
    <t>Total Units Sold</t>
  </si>
  <si>
    <t>Average Order Value</t>
  </si>
  <si>
    <t>Row Labels</t>
  </si>
  <si>
    <t>Grand Total</t>
  </si>
  <si>
    <t>Sum of total</t>
  </si>
  <si>
    <t>TOTAL REVENUE</t>
  </si>
  <si>
    <t>TOTAL SALES RECORD</t>
  </si>
  <si>
    <t>TOTAL UNITS SOLD</t>
  </si>
  <si>
    <t>AVG. REVENUE PER RECORD</t>
  </si>
  <si>
    <t>RETAIL SALES DASHBOARD</t>
  </si>
  <si>
    <t>BUSINESS INSIGHTS</t>
  </si>
  <si>
    <t>1. Total sales revenue</t>
  </si>
  <si>
    <t>2. Best-performing region</t>
  </si>
  <si>
    <t>3. Best-performing product</t>
  </si>
  <si>
    <t>4. Total units sold</t>
  </si>
  <si>
    <t>5. Lowest Revenue Region</t>
  </si>
  <si>
    <t>6. Number of Products</t>
  </si>
  <si>
    <t>7. Number of Salespeople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</si>
</sst>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6" fillId="0" borderId="10" xfId="0" applyFont="1" applyBorder="1"/>
    <xf numFmtId="0" fontId="16" fillId="0" borderId="0" xfId="0" applyFont="1"/>
    <xf numFmtId="2" fontId="0" fillId="0" borderId="10" xfId="0" applyNumberFormat="1" applyBorder="1"/>
    <xf numFmtId="4" fontId="0" fillId="0" borderId="10" xfId="0" applyNumberForma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vertical="top"/>
    </xf>
    <xf numFmtId="0" fontId="13" fillId="34" borderId="12" xfId="0" applyFont="1" applyFill="1" applyBorder="1"/>
    <xf numFmtId="0" fontId="13" fillId="34" borderId="13" xfId="0" applyFont="1" applyFill="1" applyBorder="1"/>
    <xf numFmtId="0" fontId="16" fillId="35" borderId="10" xfId="0" applyFont="1" applyFill="1" applyBorder="1" applyAlignment="1">
      <alignment horizontal="center"/>
    </xf>
    <xf numFmtId="4" fontId="19" fillId="35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20" fillId="33" borderId="0" xfId="0" applyFont="1" applyFill="1" applyAlignment="1">
      <alignment horizontal="center"/>
    </xf>
    <xf numFmtId="0" fontId="16" fillId="35" borderId="10" xfId="0" applyFont="1" applyFill="1" applyBorder="1" applyAlignment="1">
      <alignment horizontal="center"/>
    </xf>
    <xf numFmtId="4" fontId="18" fillId="35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[Retail_Sales_Analysis_Portfolio.xlsx]Regional_Analysis!PivotTable1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Revenue by Region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1455555555555553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Regional_Analysis!$A$4:$A$9</c:f>
              <c:strCache>
                <c:ptCount val="5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Regional_Analysis!$B$4:$B$9</c:f>
              <c:numCache>
                <c:formatCode>General</c:formatCode>
                <c:ptCount val="5"/>
                <c:pt idx="0">
                  <c:v>30787.940000000013</c:v>
                </c:pt>
                <c:pt idx="1">
                  <c:v>30083.510000000002</c:v>
                </c:pt>
                <c:pt idx="2">
                  <c:v>28925</c:v>
                </c:pt>
                <c:pt idx="3">
                  <c:v>26485.820000000007</c:v>
                </c:pt>
                <c:pt idx="4">
                  <c:v>26154.87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5-4661-B7DD-10839B8A6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908256"/>
        <c:axId val="962892400"/>
      </c:barChart>
      <c:catAx>
        <c:axId val="7109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92400"/>
        <c:crosses val="autoZero"/>
        <c:auto val="1"/>
        <c:lblAlgn val="ctr"/>
        <c:lblOffset val="100"/>
        <c:noMultiLvlLbl val="0"/>
      </c:catAx>
      <c:valAx>
        <c:axId val="9628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9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[Retail_Sales_Analysis_Portfolio.xlsx]Product_Analysis!PivotTable2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Product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Product_Analysis!$A$4:$A$16</c:f>
              <c:strCache>
                <c:ptCount val="12"/>
                <c:pt idx="0">
                  <c:v>Laptop Stand</c:v>
                </c:pt>
                <c:pt idx="1">
                  <c:v>Webcam 1080p</c:v>
                </c:pt>
                <c:pt idx="2">
                  <c:v>Cable Organizer</c:v>
                </c:pt>
                <c:pt idx="3">
                  <c:v>Wireless Mouse</c:v>
                </c:pt>
                <c:pt idx="4">
                  <c:v>External SSD 1TB</c:v>
                </c:pt>
                <c:pt idx="5">
                  <c:v>Noise-Cancelling Headphones</c:v>
                </c:pt>
                <c:pt idx="6">
                  <c:v>Ergonomic Chair</c:v>
                </c:pt>
                <c:pt idx="7">
                  <c:v>Desk Lamp</c:v>
                </c:pt>
                <c:pt idx="8">
                  <c:v>Mechanical Keyboard</c:v>
                </c:pt>
                <c:pt idx="9">
                  <c:v>27-inch Monitor</c:v>
                </c:pt>
                <c:pt idx="10">
                  <c:v>USB-C Hub</c:v>
                </c:pt>
                <c:pt idx="11">
                  <c:v>Standing Desk</c:v>
                </c:pt>
              </c:strCache>
            </c:strRef>
          </c:cat>
          <c:val>
            <c:numRef>
              <c:f>Product_Analysis!$B$4:$B$16</c:f>
              <c:numCache>
                <c:formatCode>General</c:formatCode>
                <c:ptCount val="12"/>
                <c:pt idx="0">
                  <c:v>18713.899999999998</c:v>
                </c:pt>
                <c:pt idx="1">
                  <c:v>16809.84</c:v>
                </c:pt>
                <c:pt idx="2">
                  <c:v>16142.37</c:v>
                </c:pt>
                <c:pt idx="3">
                  <c:v>14290.77</c:v>
                </c:pt>
                <c:pt idx="4">
                  <c:v>12103.9</c:v>
                </c:pt>
                <c:pt idx="5">
                  <c:v>10674.320000000002</c:v>
                </c:pt>
                <c:pt idx="6">
                  <c:v>10624.930000000002</c:v>
                </c:pt>
                <c:pt idx="7">
                  <c:v>10445.799999999999</c:v>
                </c:pt>
                <c:pt idx="8">
                  <c:v>9513.33</c:v>
                </c:pt>
                <c:pt idx="9">
                  <c:v>8509.33</c:v>
                </c:pt>
                <c:pt idx="10">
                  <c:v>8082.1000000000013</c:v>
                </c:pt>
                <c:pt idx="11">
                  <c:v>6526.5499999999993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4-4187-9F73-5039737C9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826272"/>
        <c:axId val="962994160"/>
      </c:barChart>
      <c:catAx>
        <c:axId val="7678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94160"/>
        <c:crosses val="autoZero"/>
        <c:auto val="1"/>
        <c:lblAlgn val="ctr"/>
        <c:lblOffset val="100"/>
        <c:noMultiLvlLbl val="0"/>
      </c:catAx>
      <c:valAx>
        <c:axId val="9629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82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[Retail_Sales_Analysis_Portfolio.xlsx]Regional_Analysis!PivotTable1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Revenue by Region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1455555555555553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Regional_Analysis!$A$4:$A$9</c:f>
              <c:strCache>
                <c:ptCount val="5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Regional_Analysis!$B$4:$B$9</c:f>
              <c:numCache>
                <c:formatCode>General</c:formatCode>
                <c:ptCount val="5"/>
                <c:pt idx="0">
                  <c:v>30787.940000000013</c:v>
                </c:pt>
                <c:pt idx="1">
                  <c:v>30083.510000000002</c:v>
                </c:pt>
                <c:pt idx="2">
                  <c:v>28925</c:v>
                </c:pt>
                <c:pt idx="3">
                  <c:v>26485.820000000007</c:v>
                </c:pt>
                <c:pt idx="4">
                  <c:v>26154.87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B-4A32-98E7-BCB4AF017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908256"/>
        <c:axId val="962892400"/>
      </c:barChart>
      <c:catAx>
        <c:axId val="7109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92400"/>
        <c:crosses val="autoZero"/>
        <c:auto val="1"/>
        <c:lblAlgn val="ctr"/>
        <c:lblOffset val="100"/>
        <c:noMultiLvlLbl val="0"/>
      </c:catAx>
      <c:valAx>
        <c:axId val="9628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9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[Retail_Sales_Analysis_Portfolio.xlsx]Product_Analysis!PivotTable2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Product_Analysis!$A$4:$A$16</c:f>
              <c:strCache>
                <c:ptCount val="12"/>
                <c:pt idx="0">
                  <c:v>Laptop Stand</c:v>
                </c:pt>
                <c:pt idx="1">
                  <c:v>Webcam 1080p</c:v>
                </c:pt>
                <c:pt idx="2">
                  <c:v>Cable Organizer</c:v>
                </c:pt>
                <c:pt idx="3">
                  <c:v>Wireless Mouse</c:v>
                </c:pt>
                <c:pt idx="4">
                  <c:v>External SSD 1TB</c:v>
                </c:pt>
                <c:pt idx="5">
                  <c:v>Noise-Cancelling Headphones</c:v>
                </c:pt>
                <c:pt idx="6">
                  <c:v>Ergonomic Chair</c:v>
                </c:pt>
                <c:pt idx="7">
                  <c:v>Desk Lamp</c:v>
                </c:pt>
                <c:pt idx="8">
                  <c:v>Mechanical Keyboard</c:v>
                </c:pt>
                <c:pt idx="9">
                  <c:v>27-inch Monitor</c:v>
                </c:pt>
                <c:pt idx="10">
                  <c:v>USB-C Hub</c:v>
                </c:pt>
                <c:pt idx="11">
                  <c:v>Standing Desk</c:v>
                </c:pt>
              </c:strCache>
            </c:strRef>
          </c:cat>
          <c:val>
            <c:numRef>
              <c:f>Product_Analysis!$B$4:$B$16</c:f>
              <c:numCache>
                <c:formatCode>General</c:formatCode>
                <c:ptCount val="12"/>
                <c:pt idx="0">
                  <c:v>18713.899999999998</c:v>
                </c:pt>
                <c:pt idx="1">
                  <c:v>16809.84</c:v>
                </c:pt>
                <c:pt idx="2">
                  <c:v>16142.37</c:v>
                </c:pt>
                <c:pt idx="3">
                  <c:v>14290.77</c:v>
                </c:pt>
                <c:pt idx="4">
                  <c:v>12103.9</c:v>
                </c:pt>
                <c:pt idx="5">
                  <c:v>10674.320000000002</c:v>
                </c:pt>
                <c:pt idx="6">
                  <c:v>10624.930000000002</c:v>
                </c:pt>
                <c:pt idx="7">
                  <c:v>10445.799999999999</c:v>
                </c:pt>
                <c:pt idx="8">
                  <c:v>9513.33</c:v>
                </c:pt>
                <c:pt idx="9">
                  <c:v>8509.33</c:v>
                </c:pt>
                <c:pt idx="10">
                  <c:v>8082.1000000000013</c:v>
                </c:pt>
                <c:pt idx="11">
                  <c:v>6526.5499999999993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F-42A6-9940-88E9ABFFF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826272"/>
        <c:axId val="962994160"/>
      </c:barChart>
      <c:catAx>
        <c:axId val="7678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94160"/>
        <c:crosses val="autoZero"/>
        <c:auto val="1"/>
        <c:lblAlgn val="ctr"/>
        <c:lblOffset val="100"/>
        <c:noMultiLvlLbl val="0"/>
      </c:catAx>
      <c:valAx>
        <c:axId val="9629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82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179797</xdr:rowOff>
    </xdr:from>
    <xdr:to>
      <xdr:col>5</xdr:col>
      <xdr:colOff>547954</xdr:colOff>
      <xdr:row>20</xdr:row>
      <xdr:rowOff>171235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ADA44-A204-4A02-A44D-D23870C80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8561</xdr:colOff>
      <xdr:row>5</xdr:row>
      <xdr:rowOff>178856</xdr:rowOff>
    </xdr:from>
    <xdr:to>
      <xdr:col>11</xdr:col>
      <xdr:colOff>556516</xdr:colOff>
      <xdr:row>21</xdr:row>
      <xdr:rowOff>6678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79CCC5-5913-422C-8B0F-D6846DB1D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167640</xdr:rowOff>
    </xdr:from>
    <xdr:to>
      <xdr:col>10</xdr:col>
      <xdr:colOff>327660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95B46-1C4E-B654-8F36-151AE6EB7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2</xdr:row>
      <xdr:rowOff>0</xdr:rowOff>
    </xdr:from>
    <xdr:to>
      <xdr:col>9</xdr:col>
      <xdr:colOff>594360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F29C2-1F42-192B-E6A5-57975263E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ena" refreshedDate="46321.491309375" createdVersion="8" refreshedVersion="8" minRefreshableVersion="3" recordCount="241" xr:uid="{9107CFC9-64D9-4A03-811B-A8A6A878F635}">
  <cacheSource type="worksheet">
    <worksheetSource ref="A1:H1048576" sheet="Sample_Data"/>
  </cacheSource>
  <cacheFields count="8">
    <cacheField name="order_id" numFmtId="0">
      <sharedItems containsBlank="1"/>
    </cacheField>
    <cacheField name="date" numFmtId="0">
      <sharedItems containsNonDate="0" containsDate="1" containsString="0" containsBlank="1" minDate="2026-01-02T00:00:00" maxDate="2026-06-30T00:00:00" count="132">
        <d v="2026-05-04T00:00:00"/>
        <d v="2026-06-26T00:00:00"/>
        <d v="2026-03-08T00:00:00"/>
        <d v="2026-02-14T00:00:00"/>
        <d v="2026-02-22T00:00:00"/>
        <d v="2026-01-18T00:00:00"/>
        <d v="2026-04-13T00:00:00"/>
        <d v="2026-05-06T00:00:00"/>
        <d v="2026-04-04T00:00:00"/>
        <d v="2026-03-01T00:00:00"/>
        <d v="2026-01-27T00:00:00"/>
        <d v="2026-05-19T00:00:00"/>
        <d v="2026-04-19T00:00:00"/>
        <d v="2026-04-16T00:00:00"/>
        <d v="2026-06-14T00:00:00"/>
        <d v="2026-01-06T00:00:00"/>
        <d v="2026-03-11T00:00:00"/>
        <d v="2026-04-17T00:00:00"/>
        <d v="2026-01-10T00:00:00"/>
        <d v="2026-06-29T00:00:00"/>
        <d v="2026-03-17T00:00:00"/>
        <d v="2026-03-26T00:00:00"/>
        <d v="2026-03-30T00:00:00"/>
        <d v="2026-06-28T00:00:00"/>
        <d v="2026-05-21T00:00:00"/>
        <d v="2026-02-11T00:00:00"/>
        <d v="2026-06-21T00:00:00"/>
        <d v="2026-01-24T00:00:00"/>
        <d v="2026-06-13T00:00:00"/>
        <d v="2026-02-12T00:00:00"/>
        <d v="2026-04-23T00:00:00"/>
        <d v="2026-02-26T00:00:00"/>
        <d v="2026-01-02T00:00:00"/>
        <d v="2026-02-02T00:00:00"/>
        <d v="2026-06-09T00:00:00"/>
        <d v="2026-04-30T00:00:00"/>
        <d v="2026-05-09T00:00:00"/>
        <d v="2026-05-23T00:00:00"/>
        <d v="2026-02-01T00:00:00"/>
        <d v="2026-04-02T00:00:00"/>
        <d v="2026-05-11T00:00:00"/>
        <d v="2026-01-30T00:00:00"/>
        <d v="2026-01-04T00:00:00"/>
        <d v="2026-04-12T00:00:00"/>
        <d v="2026-01-16T00:00:00"/>
        <d v="2026-03-04T00:00:00"/>
        <d v="2026-03-22T00:00:00"/>
        <d v="2026-06-23T00:00:00"/>
        <d v="2026-04-03T00:00:00"/>
        <d v="2026-06-20T00:00:00"/>
        <d v="2026-06-11T00:00:00"/>
        <d v="2026-06-12T00:00:00"/>
        <d v="2026-04-27T00:00:00"/>
        <d v="2026-04-01T00:00:00"/>
        <d v="2026-06-10T00:00:00"/>
        <d v="2026-05-27T00:00:00"/>
        <d v="2026-02-18T00:00:00"/>
        <d v="2026-04-25T00:00:00"/>
        <d v="2026-05-05T00:00:00"/>
        <d v="2026-01-21T00:00:00"/>
        <d v="2026-04-21T00:00:00"/>
        <d v="2026-02-16T00:00:00"/>
        <d v="2026-05-02T00:00:00"/>
        <d v="2026-05-18T00:00:00"/>
        <d v="2026-05-16T00:00:00"/>
        <d v="2026-03-12T00:00:00"/>
        <d v="2026-03-19T00:00:00"/>
        <d v="2026-01-23T00:00:00"/>
        <d v="2026-05-31T00:00:00"/>
        <d v="2026-03-21T00:00:00"/>
        <d v="2026-01-03T00:00:00"/>
        <d v="2026-05-12T00:00:00"/>
        <d v="2026-03-07T00:00:00"/>
        <d v="2026-02-05T00:00:00"/>
        <d v="2026-04-26T00:00:00"/>
        <d v="2026-03-24T00:00:00"/>
        <d v="2026-03-15T00:00:00"/>
        <d v="2026-01-14T00:00:00"/>
        <d v="2026-04-09T00:00:00"/>
        <d v="2026-05-28T00:00:00"/>
        <d v="2026-04-08T00:00:00"/>
        <d v="2026-02-17T00:00:00"/>
        <d v="2026-06-24T00:00:00"/>
        <d v="2026-06-25T00:00:00"/>
        <d v="2026-03-31T00:00:00"/>
        <d v="2026-04-11T00:00:00"/>
        <d v="2026-02-13T00:00:00"/>
        <d v="2026-06-27T00:00:00"/>
        <d v="2026-03-29T00:00:00"/>
        <d v="2026-03-25T00:00:00"/>
        <d v="2026-06-07T00:00:00"/>
        <d v="2026-05-08T00:00:00"/>
        <d v="2026-06-08T00:00:00"/>
        <d v="2026-01-08T00:00:00"/>
        <d v="2026-02-08T00:00:00"/>
        <d v="2026-02-25T00:00:00"/>
        <d v="2026-06-15T00:00:00"/>
        <d v="2026-05-13T00:00:00"/>
        <d v="2026-05-15T00:00:00"/>
        <d v="2026-04-20T00:00:00"/>
        <d v="2026-04-22T00:00:00"/>
        <d v="2026-06-04T00:00:00"/>
        <d v="2026-03-18T00:00:00"/>
        <d v="2026-02-07T00:00:00"/>
        <d v="2026-03-23T00:00:00"/>
        <d v="2026-04-14T00:00:00"/>
        <d v="2026-01-05T00:00:00"/>
        <d v="2026-05-20T00:00:00"/>
        <d v="2026-05-07T00:00:00"/>
        <d v="2026-03-03T00:00:00"/>
        <d v="2026-05-14T00:00:00"/>
        <d v="2026-06-22T00:00:00"/>
        <d v="2026-06-16T00:00:00"/>
        <d v="2026-04-07T00:00:00"/>
        <d v="2026-02-04T00:00:00"/>
        <d v="2026-03-20T00:00:00"/>
        <d v="2026-04-18T00:00:00"/>
        <d v="2026-01-26T00:00:00"/>
        <d v="2026-06-05T00:00:00"/>
        <d v="2026-05-29T00:00:00"/>
        <d v="2026-01-28T00:00:00"/>
        <d v="2026-01-29T00:00:00"/>
        <d v="2026-01-31T00:00:00"/>
        <d v="2026-04-10T00:00:00"/>
        <d v="2026-04-29T00:00:00"/>
        <d v="2026-06-19T00:00:00"/>
        <d v="2026-03-02T00:00:00"/>
        <d v="2026-02-15T00:00:00"/>
        <d v="2026-05-25T00:00:00"/>
        <d v="2026-06-18T00:00:00"/>
        <d v="2026-01-07T00:00:00"/>
        <m/>
      </sharedItems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8"/>
    </cacheField>
    <cacheField name="unit_price" numFmtId="0">
      <sharedItems containsString="0" containsBlank="1" containsNumber="1" minValue="10.1" maxValue="248.32"/>
    </cacheField>
    <cacheField name="total" numFmtId="0">
      <sharedItems containsString="0" containsBlank="1" containsNumber="1" minValue="10.1" maxValue="1779.92"/>
    </cacheField>
    <cacheField name="region" numFmtId="0">
      <sharedItems containsBlank="1" count="6">
        <s v="North"/>
        <s v="South"/>
        <s v="East"/>
        <s v="Central"/>
        <s v="West"/>
        <m/>
      </sharedItems>
    </cacheField>
    <cacheField name="salesper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ena" refreshedDate="46321.499556481482" createdVersion="8" refreshedVersion="8" minRefreshableVersion="3" recordCount="240" xr:uid="{0B3CC2A6-FD2E-4CBA-ADE7-EEF2E56E0D47}">
  <cacheSource type="worksheet">
    <worksheetSource ref="A1:H241" sheet="Sample_Data"/>
  </cacheSource>
  <cacheFields count="8">
    <cacheField name="order_id" numFmtId="0">
      <sharedItems/>
    </cacheField>
    <cacheField name="date" numFmtId="14">
      <sharedItems containsSemiMixedTypes="0" containsNonDate="0" containsDate="1" containsString="0" minDate="2026-01-02T00:00:00" maxDate="2026-06-30T00:00:00"/>
    </cacheField>
    <cacheField name="product" numFmtId="0">
      <sharedItems count="12">
        <s v="Mechanical Keyboard"/>
        <s v="USB-C Hub"/>
        <s v="Standing Desk"/>
        <s v="Webcam 1080p"/>
        <s v="Desk Lamp"/>
        <s v="Cable Organizer"/>
        <s v="Noise-Cancelling Headphones"/>
        <s v="Laptop Stand"/>
        <s v="Ergonomic Chair"/>
        <s v="Wireless Mouse"/>
        <s v="External SSD 1TB"/>
        <s v="27-inch Monitor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10.1" maxValue="248.32"/>
    </cacheField>
    <cacheField name="total" numFmtId="0">
      <sharedItems containsSemiMixedTypes="0" containsString="0" containsNumber="1" minValue="10.1" maxValue="1779.92"/>
    </cacheField>
    <cacheField name="region" numFmtId="0">
      <sharedItems/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s v="SO-1001"/>
    <x v="0"/>
    <s v="Mechanical Keyboard"/>
    <n v="6"/>
    <n v="112.7"/>
    <n v="676.2"/>
    <x v="0"/>
    <s v="Sofia Kowalski"/>
  </r>
  <r>
    <s v="SO-1002"/>
    <x v="1"/>
    <s v="USB-C Hub"/>
    <n v="6"/>
    <n v="35.78"/>
    <n v="214.68"/>
    <x v="1"/>
    <s v="Sofia Kowalski"/>
  </r>
  <r>
    <s v="SO-1003"/>
    <x v="2"/>
    <s v="Standing Desk"/>
    <n v="1"/>
    <n v="111.15"/>
    <n v="111.15"/>
    <x v="1"/>
    <s v="Elena Cohen"/>
  </r>
  <r>
    <s v="SO-1004"/>
    <x v="3"/>
    <s v="Webcam 1080p"/>
    <n v="1"/>
    <n v="112.67"/>
    <n v="112.67"/>
    <x v="2"/>
    <s v="Omar Haddad"/>
  </r>
  <r>
    <s v="SO-1005"/>
    <x v="4"/>
    <s v="Webcam 1080p"/>
    <n v="1"/>
    <n v="54.09"/>
    <n v="54.09"/>
    <x v="3"/>
    <s v="Sofia Kowalski"/>
  </r>
  <r>
    <s v="SO-1006"/>
    <x v="5"/>
    <s v="Desk Lamp"/>
    <n v="4"/>
    <n v="215.54"/>
    <n v="862.16"/>
    <x v="4"/>
    <s v="Omar Haddad"/>
  </r>
  <r>
    <s v="SO-1007"/>
    <x v="6"/>
    <s v="Cable Organizer"/>
    <n v="3"/>
    <n v="17.52"/>
    <n v="52.56"/>
    <x v="2"/>
    <s v="TomÃ¡s Tanaka"/>
  </r>
  <r>
    <s v="SO-1008"/>
    <x v="7"/>
    <s v="Noise-Cancelling Headphones"/>
    <n v="6"/>
    <n v="181.65"/>
    <n v="1089.9000000000001"/>
    <x v="4"/>
    <s v="Omar Haddad"/>
  </r>
  <r>
    <s v="SO-1009"/>
    <x v="8"/>
    <s v="Laptop Stand"/>
    <n v="8"/>
    <n v="28.72"/>
    <n v="229.76"/>
    <x v="2"/>
    <s v="Sofia Kowalski"/>
  </r>
  <r>
    <s v="SO-1010"/>
    <x v="9"/>
    <s v="Ergonomic Chair"/>
    <n v="7"/>
    <n v="143.97"/>
    <n v="1007.79"/>
    <x v="2"/>
    <s v="Priya Herrera"/>
  </r>
  <r>
    <s v="SO-1011"/>
    <x v="10"/>
    <s v="Cable Organizer"/>
    <n v="7"/>
    <n v="147.79"/>
    <n v="1034.53"/>
    <x v="0"/>
    <s v="Priya Herrera"/>
  </r>
  <r>
    <s v="SO-1012"/>
    <x v="11"/>
    <s v="Wireless Mouse"/>
    <n v="5"/>
    <n v="206.67"/>
    <n v="1033.3499999999999"/>
    <x v="0"/>
    <s v="Chen Bennett"/>
  </r>
  <r>
    <s v="SO-1013"/>
    <x v="12"/>
    <s v="USB-C Hub"/>
    <n v="6"/>
    <n v="119.74"/>
    <n v="718.44"/>
    <x v="1"/>
    <s v="TomÃ¡s Tanaka"/>
  </r>
  <r>
    <s v="SO-1014"/>
    <x v="13"/>
    <s v="Mechanical Keyboard"/>
    <n v="2"/>
    <n v="179.18"/>
    <n v="358.36"/>
    <x v="0"/>
    <s v="TomÃ¡s Tanaka"/>
  </r>
  <r>
    <s v="SO-1015"/>
    <x v="14"/>
    <s v="External SSD 1TB"/>
    <n v="8"/>
    <n v="149.41"/>
    <n v="1195.28"/>
    <x v="2"/>
    <s v="Chen Bennett"/>
  </r>
  <r>
    <s v="SO-1016"/>
    <x v="15"/>
    <s v="Ergonomic Chair"/>
    <n v="1"/>
    <n v="223.56"/>
    <n v="223.56"/>
    <x v="3"/>
    <s v="Elena Cohen"/>
  </r>
  <r>
    <s v="SO-1017"/>
    <x v="16"/>
    <s v="Desk Lamp"/>
    <n v="7"/>
    <n v="59.12"/>
    <n v="413.84"/>
    <x v="0"/>
    <s v="Chen Bennett"/>
  </r>
  <r>
    <s v="SO-1018"/>
    <x v="17"/>
    <s v="Mechanical Keyboard"/>
    <n v="7"/>
    <n v="90.62"/>
    <n v="634.34"/>
    <x v="2"/>
    <s v="Priya Herrera"/>
  </r>
  <r>
    <s v="SO-1019"/>
    <x v="18"/>
    <s v="Webcam 1080p"/>
    <n v="2"/>
    <n v="197.09"/>
    <n v="394.18"/>
    <x v="2"/>
    <s v="Sofia Kowalski"/>
  </r>
  <r>
    <s v="SO-1020"/>
    <x v="19"/>
    <s v="Laptop Stand"/>
    <n v="4"/>
    <n v="167.13"/>
    <n v="668.52"/>
    <x v="2"/>
    <s v="Priya Herrera"/>
  </r>
  <r>
    <s v="SO-1021"/>
    <x v="13"/>
    <s v="Wireless Mouse"/>
    <n v="3"/>
    <n v="63.19"/>
    <n v="189.57"/>
    <x v="1"/>
    <s v="Sofia Kowalski"/>
  </r>
  <r>
    <s v="SO-1022"/>
    <x v="20"/>
    <s v="External SSD 1TB"/>
    <n v="3"/>
    <n v="36.67"/>
    <n v="110.01"/>
    <x v="2"/>
    <s v="TomÃ¡s Tanaka"/>
  </r>
  <r>
    <s v="SO-1023"/>
    <x v="21"/>
    <s v="USB-C Hub"/>
    <n v="2"/>
    <n v="179.02"/>
    <n v="358.04"/>
    <x v="3"/>
    <s v="Omar Haddad"/>
  </r>
  <r>
    <s v="SO-1024"/>
    <x v="22"/>
    <s v="Desk Lamp"/>
    <n v="1"/>
    <n v="54.88"/>
    <n v="54.88"/>
    <x v="3"/>
    <s v="Elena Cohen"/>
  </r>
  <r>
    <s v="SO-1025"/>
    <x v="23"/>
    <s v="Laptop Stand"/>
    <n v="4"/>
    <n v="161.26"/>
    <n v="645.04"/>
    <x v="2"/>
    <s v="Elena Cohen"/>
  </r>
  <r>
    <s v="SO-1026"/>
    <x v="24"/>
    <s v="Laptop Stand"/>
    <n v="5"/>
    <n v="214.71"/>
    <n v="1073.55"/>
    <x v="4"/>
    <s v="Sofia Kowalski"/>
  </r>
  <r>
    <s v="SO-1027"/>
    <x v="25"/>
    <s v="Wireless Mouse"/>
    <n v="5"/>
    <n v="12.96"/>
    <n v="64.8"/>
    <x v="3"/>
    <s v="Sofia Kowalski"/>
  </r>
  <r>
    <s v="SO-1028"/>
    <x v="5"/>
    <s v="Cable Organizer"/>
    <n v="5"/>
    <n v="68.38"/>
    <n v="341.9"/>
    <x v="3"/>
    <s v="Priya Herrera"/>
  </r>
  <r>
    <s v="SO-1029"/>
    <x v="26"/>
    <s v="Mechanical Keyboard"/>
    <n v="4"/>
    <n v="30.61"/>
    <n v="122.44"/>
    <x v="3"/>
    <s v="Elena Cohen"/>
  </r>
  <r>
    <s v="SO-1030"/>
    <x v="27"/>
    <s v="Mechanical Keyboard"/>
    <n v="8"/>
    <n v="103.99"/>
    <n v="831.92"/>
    <x v="3"/>
    <s v="Priya Herrera"/>
  </r>
  <r>
    <s v="SO-1031"/>
    <x v="3"/>
    <s v="Desk Lamp"/>
    <n v="1"/>
    <n v="217.69"/>
    <n v="217.69"/>
    <x v="3"/>
    <s v="Elena Cohen"/>
  </r>
  <r>
    <s v="SO-1032"/>
    <x v="28"/>
    <s v="Wireless Mouse"/>
    <n v="4"/>
    <n v="248.32"/>
    <n v="993.28"/>
    <x v="0"/>
    <s v="Chen Bennett"/>
  </r>
  <r>
    <s v="SO-1033"/>
    <x v="29"/>
    <s v="Laptop Stand"/>
    <n v="7"/>
    <n v="197.63"/>
    <n v="1383.41"/>
    <x v="4"/>
    <s v="Omar Haddad"/>
  </r>
  <r>
    <s v="SO-1034"/>
    <x v="30"/>
    <s v="27-inch Monitor"/>
    <n v="1"/>
    <n v="153.5"/>
    <n v="153.5"/>
    <x v="2"/>
    <s v="Sofia Kowalski"/>
  </r>
  <r>
    <s v="SO-1035"/>
    <x v="23"/>
    <s v="Webcam 1080p"/>
    <n v="4"/>
    <n v="202.9"/>
    <n v="811.6"/>
    <x v="1"/>
    <s v="Omar Haddad"/>
  </r>
  <r>
    <s v="SO-1036"/>
    <x v="31"/>
    <s v="Wireless Mouse"/>
    <n v="5"/>
    <n v="135.96"/>
    <n v="679.8"/>
    <x v="3"/>
    <s v="Chen Bennett"/>
  </r>
  <r>
    <s v="SO-1037"/>
    <x v="32"/>
    <s v="Cable Organizer"/>
    <n v="6"/>
    <n v="74.489999999999995"/>
    <n v="446.94"/>
    <x v="2"/>
    <s v="Chen Bennett"/>
  </r>
  <r>
    <s v="SO-1038"/>
    <x v="33"/>
    <s v="Wireless Mouse"/>
    <n v="4"/>
    <n v="115.64"/>
    <n v="462.56"/>
    <x v="2"/>
    <s v="Elena Cohen"/>
  </r>
  <r>
    <s v="SO-1039"/>
    <x v="34"/>
    <s v="Laptop Stand"/>
    <n v="5"/>
    <n v="245.5"/>
    <n v="1227.5"/>
    <x v="3"/>
    <s v="Elena Cohen"/>
  </r>
  <r>
    <s v="SO-1040"/>
    <x v="35"/>
    <s v="Laptop Stand"/>
    <n v="5"/>
    <n v="161.72"/>
    <n v="808.6"/>
    <x v="3"/>
    <s v="Priya Herrera"/>
  </r>
  <r>
    <s v="SO-1041"/>
    <x v="31"/>
    <s v="Noise-Cancelling Headphones"/>
    <n v="1"/>
    <n v="213.38"/>
    <n v="213.38"/>
    <x v="2"/>
    <s v="Sofia Kowalski"/>
  </r>
  <r>
    <s v="SO-1042"/>
    <x v="36"/>
    <s v="Cable Organizer"/>
    <n v="3"/>
    <n v="221.01"/>
    <n v="663.03"/>
    <x v="3"/>
    <s v="Elena Cohen"/>
  </r>
  <r>
    <s v="SO-1043"/>
    <x v="37"/>
    <s v="Webcam 1080p"/>
    <n v="4"/>
    <n v="158.94999999999999"/>
    <n v="635.79999999999995"/>
    <x v="0"/>
    <s v="Elena Cohen"/>
  </r>
  <r>
    <s v="SO-1044"/>
    <x v="38"/>
    <s v="Cable Organizer"/>
    <n v="5"/>
    <n v="37.47"/>
    <n v="187.35"/>
    <x v="4"/>
    <s v="Omar Haddad"/>
  </r>
  <r>
    <s v="SO-1045"/>
    <x v="39"/>
    <s v="Wireless Mouse"/>
    <n v="7"/>
    <n v="124.94"/>
    <n v="874.58"/>
    <x v="1"/>
    <s v="Sofia Kowalski"/>
  </r>
  <r>
    <s v="SO-1046"/>
    <x v="40"/>
    <s v="Standing Desk"/>
    <n v="1"/>
    <n v="80.58"/>
    <n v="80.58"/>
    <x v="4"/>
    <s v="Chen Bennett"/>
  </r>
  <r>
    <s v="SO-1047"/>
    <x v="41"/>
    <s v="External SSD 1TB"/>
    <n v="7"/>
    <n v="143.93"/>
    <n v="1007.51"/>
    <x v="2"/>
    <s v="Sofia Kowalski"/>
  </r>
  <r>
    <s v="SO-1048"/>
    <x v="42"/>
    <s v="Ergonomic Chair"/>
    <n v="1"/>
    <n v="151.12"/>
    <n v="151.12"/>
    <x v="4"/>
    <s v="TomÃ¡s Tanaka"/>
  </r>
  <r>
    <s v="SO-1049"/>
    <x v="43"/>
    <s v="Cable Organizer"/>
    <n v="4"/>
    <n v="84.27"/>
    <n v="337.08"/>
    <x v="1"/>
    <s v="Omar Haddad"/>
  </r>
  <r>
    <s v="SO-1050"/>
    <x v="10"/>
    <s v="Wireless Mouse"/>
    <n v="1"/>
    <n v="96.96"/>
    <n v="96.96"/>
    <x v="0"/>
    <s v="Sofia Kowalski"/>
  </r>
  <r>
    <s v="SO-1051"/>
    <x v="44"/>
    <s v="Ergonomic Chair"/>
    <n v="7"/>
    <n v="155.38999999999999"/>
    <n v="1087.73"/>
    <x v="3"/>
    <s v="Omar Haddad"/>
  </r>
  <r>
    <s v="SO-1052"/>
    <x v="45"/>
    <s v="Mechanical Keyboard"/>
    <n v="3"/>
    <n v="125.54"/>
    <n v="376.62"/>
    <x v="2"/>
    <s v="Sofia Kowalski"/>
  </r>
  <r>
    <s v="SO-1053"/>
    <x v="46"/>
    <s v="Ergonomic Chair"/>
    <n v="5"/>
    <n v="70.790000000000006"/>
    <n v="353.95"/>
    <x v="2"/>
    <s v="TomÃ¡s Tanaka"/>
  </r>
  <r>
    <s v="SO-1054"/>
    <x v="36"/>
    <s v="Noise-Cancelling Headphones"/>
    <n v="6"/>
    <n v="204.83"/>
    <n v="1228.98"/>
    <x v="3"/>
    <s v="Sofia Kowalski"/>
  </r>
  <r>
    <s v="SO-1055"/>
    <x v="47"/>
    <s v="External SSD 1TB"/>
    <n v="8"/>
    <n v="190.17"/>
    <n v="1521.36"/>
    <x v="1"/>
    <s v="Sofia Kowalski"/>
  </r>
  <r>
    <s v="SO-1056"/>
    <x v="34"/>
    <s v="27-inch Monitor"/>
    <n v="7"/>
    <n v="239.78"/>
    <n v="1678.46"/>
    <x v="3"/>
    <s v="Sofia Kowalski"/>
  </r>
  <r>
    <s v="SO-1057"/>
    <x v="48"/>
    <s v="Wireless Mouse"/>
    <n v="8"/>
    <n v="14"/>
    <n v="112"/>
    <x v="4"/>
    <s v="Chen Bennett"/>
  </r>
  <r>
    <s v="SO-1058"/>
    <x v="49"/>
    <s v="Wireless Mouse"/>
    <n v="2"/>
    <n v="191.22"/>
    <n v="382.44"/>
    <x v="3"/>
    <s v="TomÃ¡s Tanaka"/>
  </r>
  <r>
    <s v="SO-1059"/>
    <x v="50"/>
    <s v="Webcam 1080p"/>
    <n v="2"/>
    <n v="183.47"/>
    <n v="366.94"/>
    <x v="4"/>
    <s v="TomÃ¡s Tanaka"/>
  </r>
  <r>
    <s v="SO-1060"/>
    <x v="51"/>
    <s v="27-inch Monitor"/>
    <n v="2"/>
    <n v="36.29"/>
    <n v="72.58"/>
    <x v="1"/>
    <s v="Priya Herrera"/>
  </r>
  <r>
    <s v="SO-1061"/>
    <x v="52"/>
    <s v="Cable Organizer"/>
    <n v="7"/>
    <n v="208.15"/>
    <n v="1457.05"/>
    <x v="0"/>
    <s v="TomÃ¡s Tanaka"/>
  </r>
  <r>
    <s v="SO-1062"/>
    <x v="18"/>
    <s v="Laptop Stand"/>
    <n v="5"/>
    <n v="103.77"/>
    <n v="518.85"/>
    <x v="2"/>
    <s v="Elena Cohen"/>
  </r>
  <r>
    <s v="SO-1063"/>
    <x v="53"/>
    <s v="Cable Organizer"/>
    <n v="7"/>
    <n v="229.06"/>
    <n v="1603.42"/>
    <x v="2"/>
    <s v="Elena Cohen"/>
  </r>
  <r>
    <s v="SO-1064"/>
    <x v="54"/>
    <s v="External SSD 1TB"/>
    <n v="6"/>
    <n v="132.61000000000001"/>
    <n v="795.66"/>
    <x v="1"/>
    <s v="Priya Herrera"/>
  </r>
  <r>
    <s v="SO-1065"/>
    <x v="47"/>
    <s v="Wireless Mouse"/>
    <n v="7"/>
    <n v="213.29"/>
    <n v="1493.03"/>
    <x v="3"/>
    <s v="Omar Haddad"/>
  </r>
  <r>
    <s v="SO-1066"/>
    <x v="55"/>
    <s v="Ergonomic Chair"/>
    <n v="4"/>
    <n v="105.37"/>
    <n v="421.48"/>
    <x v="1"/>
    <s v="Chen Bennett"/>
  </r>
  <r>
    <s v="SO-1067"/>
    <x v="56"/>
    <s v="Noise-Cancelling Headphones"/>
    <n v="1"/>
    <n v="55.16"/>
    <n v="55.16"/>
    <x v="4"/>
    <s v="Chen Bennett"/>
  </r>
  <r>
    <s v="SO-1068"/>
    <x v="20"/>
    <s v="Noise-Cancelling Headphones"/>
    <n v="8"/>
    <n v="150.91"/>
    <n v="1207.28"/>
    <x v="0"/>
    <s v="Priya Herrera"/>
  </r>
  <r>
    <s v="SO-1069"/>
    <x v="57"/>
    <s v="External SSD 1TB"/>
    <n v="8"/>
    <n v="55.16"/>
    <n v="441.28"/>
    <x v="0"/>
    <s v="Elena Cohen"/>
  </r>
  <r>
    <s v="SO-1070"/>
    <x v="58"/>
    <s v="Laptop Stand"/>
    <n v="8"/>
    <n v="114.94"/>
    <n v="919.52"/>
    <x v="4"/>
    <s v="TomÃ¡s Tanaka"/>
  </r>
  <r>
    <s v="SO-1071"/>
    <x v="59"/>
    <s v="External SSD 1TB"/>
    <n v="7"/>
    <n v="123.53"/>
    <n v="864.71"/>
    <x v="2"/>
    <s v="Priya Herrera"/>
  </r>
  <r>
    <s v="SO-1072"/>
    <x v="60"/>
    <s v="Mechanical Keyboard"/>
    <n v="6"/>
    <n v="106.03"/>
    <n v="636.17999999999995"/>
    <x v="0"/>
    <s v="TomÃ¡s Tanaka"/>
  </r>
  <r>
    <s v="SO-1073"/>
    <x v="61"/>
    <s v="Wireless Mouse"/>
    <n v="8"/>
    <n v="179.22"/>
    <n v="1433.76"/>
    <x v="3"/>
    <s v="TomÃ¡s Tanaka"/>
  </r>
  <r>
    <s v="SO-1074"/>
    <x v="60"/>
    <s v="Laptop Stand"/>
    <n v="7"/>
    <n v="162.66"/>
    <n v="1138.6199999999999"/>
    <x v="0"/>
    <s v="Chen Bennett"/>
  </r>
  <r>
    <s v="SO-1075"/>
    <x v="62"/>
    <s v="Ergonomic Chair"/>
    <n v="5"/>
    <n v="207.98"/>
    <n v="1039.9000000000001"/>
    <x v="4"/>
    <s v="Sofia Kowalski"/>
  </r>
  <r>
    <s v="SO-1076"/>
    <x v="63"/>
    <s v="27-inch Monitor"/>
    <n v="7"/>
    <n v="123.91"/>
    <n v="867.37"/>
    <x v="0"/>
    <s v="Sofia Kowalski"/>
  </r>
  <r>
    <s v="SO-1077"/>
    <x v="64"/>
    <s v="Webcam 1080p"/>
    <n v="4"/>
    <n v="134.83000000000001"/>
    <n v="539.32000000000005"/>
    <x v="3"/>
    <s v="TomÃ¡s Tanaka"/>
  </r>
  <r>
    <s v="SO-1078"/>
    <x v="24"/>
    <s v="Noise-Cancelling Headphones"/>
    <n v="6"/>
    <n v="80.19"/>
    <n v="481.14"/>
    <x v="0"/>
    <s v="Omar Haddad"/>
  </r>
  <r>
    <s v="SO-1079"/>
    <x v="8"/>
    <s v="Standing Desk"/>
    <n v="6"/>
    <n v="45.83"/>
    <n v="274.98"/>
    <x v="0"/>
    <s v="Omar Haddad"/>
  </r>
  <r>
    <s v="SO-1080"/>
    <x v="65"/>
    <s v="Cable Organizer"/>
    <n v="7"/>
    <n v="97.22"/>
    <n v="680.54"/>
    <x v="4"/>
    <s v="Chen Bennett"/>
  </r>
  <r>
    <s v="SO-1081"/>
    <x v="66"/>
    <s v="Ergonomic Chair"/>
    <n v="7"/>
    <n v="145.34"/>
    <n v="1017.38"/>
    <x v="1"/>
    <s v="Chen Bennett"/>
  </r>
  <r>
    <s v="SO-1082"/>
    <x v="67"/>
    <s v="USB-C Hub"/>
    <n v="1"/>
    <n v="78.430000000000007"/>
    <n v="78.430000000000007"/>
    <x v="2"/>
    <s v="Elena Cohen"/>
  </r>
  <r>
    <s v="SO-1083"/>
    <x v="4"/>
    <s v="Ergonomic Chair"/>
    <n v="4"/>
    <n v="24.31"/>
    <n v="97.24"/>
    <x v="1"/>
    <s v="Priya Herrera"/>
  </r>
  <r>
    <s v="SO-1084"/>
    <x v="68"/>
    <s v="Desk Lamp"/>
    <n v="3"/>
    <n v="110.73"/>
    <n v="332.19"/>
    <x v="4"/>
    <s v="Sofia Kowalski"/>
  </r>
  <r>
    <s v="SO-1085"/>
    <x v="69"/>
    <s v="External SSD 1TB"/>
    <n v="1"/>
    <n v="211.31"/>
    <n v="211.31"/>
    <x v="3"/>
    <s v="Chen Bennett"/>
  </r>
  <r>
    <s v="SO-1086"/>
    <x v="70"/>
    <s v="Webcam 1080p"/>
    <n v="6"/>
    <n v="129.28"/>
    <n v="775.68"/>
    <x v="1"/>
    <s v="Elena Cohen"/>
  </r>
  <r>
    <s v="SO-1087"/>
    <x v="71"/>
    <s v="Webcam 1080p"/>
    <n v="6"/>
    <n v="119.41"/>
    <n v="716.46"/>
    <x v="2"/>
    <s v="Chen Bennett"/>
  </r>
  <r>
    <s v="SO-1088"/>
    <x v="72"/>
    <s v="Cable Organizer"/>
    <n v="5"/>
    <n v="247.06"/>
    <n v="1235.3"/>
    <x v="3"/>
    <s v="TomÃ¡s Tanaka"/>
  </r>
  <r>
    <s v="SO-1089"/>
    <x v="1"/>
    <s v="External SSD 1TB"/>
    <n v="8"/>
    <n v="70.14"/>
    <n v="561.12"/>
    <x v="1"/>
    <s v="Elena Cohen"/>
  </r>
  <r>
    <s v="SO-1090"/>
    <x v="73"/>
    <s v="Laptop Stand"/>
    <n v="8"/>
    <n v="190.32"/>
    <n v="1522.56"/>
    <x v="4"/>
    <s v="TomÃ¡s Tanaka"/>
  </r>
  <r>
    <s v="SO-1091"/>
    <x v="74"/>
    <s v="Laptop Stand"/>
    <n v="2"/>
    <n v="47.23"/>
    <n v="94.46"/>
    <x v="3"/>
    <s v="Sofia Kowalski"/>
  </r>
  <r>
    <s v="SO-1092"/>
    <x v="35"/>
    <s v="Wireless Mouse"/>
    <n v="2"/>
    <n v="129.16"/>
    <n v="258.32"/>
    <x v="2"/>
    <s v="Sofia Kowalski"/>
  </r>
  <r>
    <s v="SO-1093"/>
    <x v="75"/>
    <s v="Wireless Mouse"/>
    <n v="4"/>
    <n v="204.21"/>
    <n v="816.84"/>
    <x v="0"/>
    <s v="Priya Herrera"/>
  </r>
  <r>
    <s v="SO-1094"/>
    <x v="76"/>
    <s v="Noise-Cancelling Headphones"/>
    <n v="7"/>
    <n v="101.14"/>
    <n v="707.98"/>
    <x v="3"/>
    <s v="Elena Cohen"/>
  </r>
  <r>
    <s v="SO-1095"/>
    <x v="51"/>
    <s v="Webcam 1080p"/>
    <n v="4"/>
    <n v="87.02"/>
    <n v="348.08"/>
    <x v="4"/>
    <s v="TomÃ¡s Tanaka"/>
  </r>
  <r>
    <s v="SO-1096"/>
    <x v="77"/>
    <s v="USB-C Hub"/>
    <n v="3"/>
    <n v="95.05"/>
    <n v="285.14999999999998"/>
    <x v="0"/>
    <s v="Omar Haddad"/>
  </r>
  <r>
    <s v="SO-1097"/>
    <x v="15"/>
    <s v="Webcam 1080p"/>
    <n v="2"/>
    <n v="157.18"/>
    <n v="314.36"/>
    <x v="2"/>
    <s v="Sofia Kowalski"/>
  </r>
  <r>
    <s v="SO-1098"/>
    <x v="50"/>
    <s v="Mechanical Keyboard"/>
    <n v="7"/>
    <n v="200.15"/>
    <n v="1401.05"/>
    <x v="1"/>
    <s v="Omar Haddad"/>
  </r>
  <r>
    <s v="SO-1099"/>
    <x v="78"/>
    <s v="External SSD 1TB"/>
    <n v="8"/>
    <n v="211.02"/>
    <n v="1688.16"/>
    <x v="1"/>
    <s v="Priya Herrera"/>
  </r>
  <r>
    <s v="SO-1100"/>
    <x v="79"/>
    <s v="Desk Lamp"/>
    <n v="6"/>
    <n v="95.39"/>
    <n v="572.34"/>
    <x v="0"/>
    <s v="Omar Haddad"/>
  </r>
  <r>
    <s v="SO-1101"/>
    <x v="80"/>
    <s v="27-inch Monitor"/>
    <n v="3"/>
    <n v="174.42"/>
    <n v="523.26"/>
    <x v="2"/>
    <s v="Priya Herrera"/>
  </r>
  <r>
    <s v="SO-1102"/>
    <x v="36"/>
    <s v="Cable Organizer"/>
    <n v="3"/>
    <n v="20.420000000000002"/>
    <n v="61.26"/>
    <x v="0"/>
    <s v="Priya Herrera"/>
  </r>
  <r>
    <s v="SO-1103"/>
    <x v="39"/>
    <s v="Noise-Cancelling Headphones"/>
    <n v="2"/>
    <n v="147.5"/>
    <n v="295"/>
    <x v="0"/>
    <s v="Chen Bennett"/>
  </r>
  <r>
    <s v="SO-1104"/>
    <x v="81"/>
    <s v="27-inch Monitor"/>
    <n v="5"/>
    <n v="145.81"/>
    <n v="729.05"/>
    <x v="0"/>
    <s v="Chen Bennett"/>
  </r>
  <r>
    <s v="SO-1105"/>
    <x v="73"/>
    <s v="Laptop Stand"/>
    <n v="8"/>
    <n v="199.7"/>
    <n v="1597.6"/>
    <x v="1"/>
    <s v="Elena Cohen"/>
  </r>
  <r>
    <s v="SO-1106"/>
    <x v="82"/>
    <s v="Mechanical Keyboard"/>
    <n v="1"/>
    <n v="136.09"/>
    <n v="136.09"/>
    <x v="0"/>
    <s v="Elena Cohen"/>
  </r>
  <r>
    <s v="SO-1107"/>
    <x v="83"/>
    <s v="Laptop Stand"/>
    <n v="5"/>
    <n v="199.37"/>
    <n v="996.85"/>
    <x v="4"/>
    <s v="Elena Cohen"/>
  </r>
  <r>
    <s v="SO-1108"/>
    <x v="84"/>
    <s v="Ergonomic Chair"/>
    <n v="5"/>
    <n v="21.33"/>
    <n v="106.65"/>
    <x v="4"/>
    <s v="Sofia Kowalski"/>
  </r>
  <r>
    <s v="SO-1109"/>
    <x v="85"/>
    <s v="Mechanical Keyboard"/>
    <n v="5"/>
    <n v="92.38"/>
    <n v="461.9"/>
    <x v="1"/>
    <s v="Priya Herrera"/>
  </r>
  <r>
    <s v="SO-1110"/>
    <x v="86"/>
    <s v="Mechanical Keyboard"/>
    <n v="2"/>
    <n v="82.19"/>
    <n v="164.38"/>
    <x v="0"/>
    <s v="Chen Bennett"/>
  </r>
  <r>
    <s v="SO-1111"/>
    <x v="87"/>
    <s v="Webcam 1080p"/>
    <n v="5"/>
    <n v="164.71"/>
    <n v="823.55"/>
    <x v="1"/>
    <s v="Chen Bennett"/>
  </r>
  <r>
    <s v="SO-1112"/>
    <x v="86"/>
    <s v="Webcam 1080p"/>
    <n v="3"/>
    <n v="16.97"/>
    <n v="50.91"/>
    <x v="3"/>
    <s v="Sofia Kowalski"/>
  </r>
  <r>
    <s v="SO-1113"/>
    <x v="88"/>
    <s v="Cable Organizer"/>
    <n v="5"/>
    <n v="116.14"/>
    <n v="580.70000000000005"/>
    <x v="3"/>
    <s v="TomÃ¡s Tanaka"/>
  </r>
  <r>
    <s v="SO-1114"/>
    <x v="81"/>
    <s v="Wireless Mouse"/>
    <n v="8"/>
    <n v="101.26"/>
    <n v="810.08"/>
    <x v="4"/>
    <s v="Priya Herrera"/>
  </r>
  <r>
    <s v="SO-1115"/>
    <x v="89"/>
    <s v="Cable Organizer"/>
    <n v="3"/>
    <n v="106.98"/>
    <n v="320.94"/>
    <x v="0"/>
    <s v="Sofia Kowalski"/>
  </r>
  <r>
    <s v="SO-1116"/>
    <x v="90"/>
    <s v="Desk Lamp"/>
    <n v="6"/>
    <n v="217.82"/>
    <n v="1306.92"/>
    <x v="0"/>
    <s v="Chen Bennett"/>
  </r>
  <r>
    <s v="SO-1117"/>
    <x v="48"/>
    <s v="USB-C Hub"/>
    <n v="4"/>
    <n v="82.75"/>
    <n v="331"/>
    <x v="4"/>
    <s v="Omar Haddad"/>
  </r>
  <r>
    <s v="SO-1118"/>
    <x v="23"/>
    <s v="Standing Desk"/>
    <n v="2"/>
    <n v="63.53"/>
    <n v="127.06"/>
    <x v="0"/>
    <s v="Priya Herrera"/>
  </r>
  <r>
    <s v="SO-1119"/>
    <x v="40"/>
    <s v="Cable Organizer"/>
    <n v="5"/>
    <n v="133.97999999999999"/>
    <n v="669.9"/>
    <x v="2"/>
    <s v="Elena Cohen"/>
  </r>
  <r>
    <s v="SO-1120"/>
    <x v="91"/>
    <s v="External SSD 1TB"/>
    <n v="2"/>
    <n v="40.29"/>
    <n v="80.58"/>
    <x v="3"/>
    <s v="Chen Bennett"/>
  </r>
  <r>
    <s v="SO-1121"/>
    <x v="75"/>
    <s v="Ergonomic Chair"/>
    <n v="5"/>
    <n v="67.680000000000007"/>
    <n v="338.4"/>
    <x v="3"/>
    <s v="Omar Haddad"/>
  </r>
  <r>
    <s v="SO-1122"/>
    <x v="27"/>
    <s v="Desk Lamp"/>
    <n v="4"/>
    <n v="155.01"/>
    <n v="620.04"/>
    <x v="3"/>
    <s v="TomÃ¡s Tanaka"/>
  </r>
  <r>
    <s v="SO-1123"/>
    <x v="92"/>
    <s v="Webcam 1080p"/>
    <n v="7"/>
    <n v="164.92"/>
    <n v="1154.44"/>
    <x v="2"/>
    <s v="Sofia Kowalski"/>
  </r>
  <r>
    <s v="SO-1124"/>
    <x v="93"/>
    <s v="Standing Desk"/>
    <n v="4"/>
    <n v="73.540000000000006"/>
    <n v="294.16000000000003"/>
    <x v="4"/>
    <s v="Chen Bennett"/>
  </r>
  <r>
    <s v="SO-1125"/>
    <x v="94"/>
    <s v="Laptop Stand"/>
    <n v="6"/>
    <n v="64.569999999999993"/>
    <n v="387.42"/>
    <x v="4"/>
    <s v="Elena Cohen"/>
  </r>
  <r>
    <s v="SO-1126"/>
    <x v="95"/>
    <s v="Laptop Stand"/>
    <n v="6"/>
    <n v="100.31"/>
    <n v="601.86"/>
    <x v="3"/>
    <s v="Chen Bennett"/>
  </r>
  <r>
    <s v="SO-1127"/>
    <x v="77"/>
    <s v="External SSD 1TB"/>
    <n v="2"/>
    <n v="101.62"/>
    <n v="203.24"/>
    <x v="2"/>
    <s v="Priya Herrera"/>
  </r>
  <r>
    <s v="SO-1128"/>
    <x v="27"/>
    <s v="Webcam 1080p"/>
    <n v="1"/>
    <n v="218.28"/>
    <n v="218.28"/>
    <x v="2"/>
    <s v="Priya Herrera"/>
  </r>
  <r>
    <s v="SO-1129"/>
    <x v="62"/>
    <s v="27-inch Monitor"/>
    <n v="7"/>
    <n v="136.88999999999999"/>
    <n v="958.23"/>
    <x v="4"/>
    <s v="Omar Haddad"/>
  </r>
  <r>
    <s v="SO-1130"/>
    <x v="11"/>
    <s v="External SSD 1TB"/>
    <n v="7"/>
    <n v="222.09"/>
    <n v="1554.63"/>
    <x v="2"/>
    <s v="Priya Herrera"/>
  </r>
  <r>
    <s v="SO-1131"/>
    <x v="96"/>
    <s v="Mechanical Keyboard"/>
    <n v="8"/>
    <n v="216.34"/>
    <n v="1730.72"/>
    <x v="1"/>
    <s v="Omar Haddad"/>
  </r>
  <r>
    <s v="SO-1132"/>
    <x v="97"/>
    <s v="Ergonomic Chair"/>
    <n v="8"/>
    <n v="101.86"/>
    <n v="814.88"/>
    <x v="3"/>
    <s v="Sofia Kowalski"/>
  </r>
  <r>
    <s v="SO-1133"/>
    <x v="94"/>
    <s v="27-inch Monitor"/>
    <n v="4"/>
    <n v="76.08"/>
    <n v="304.32"/>
    <x v="2"/>
    <s v="Omar Haddad"/>
  </r>
  <r>
    <s v="SO-1134"/>
    <x v="98"/>
    <s v="Webcam 1080p"/>
    <n v="4"/>
    <n v="86.42"/>
    <n v="345.68"/>
    <x v="0"/>
    <s v="TomÃ¡s Tanaka"/>
  </r>
  <r>
    <s v="SO-1135"/>
    <x v="63"/>
    <s v="USB-C Hub"/>
    <n v="4"/>
    <n v="173.35"/>
    <n v="693.4"/>
    <x v="1"/>
    <s v="Priya Herrera"/>
  </r>
  <r>
    <s v="SO-1136"/>
    <x v="82"/>
    <s v="Noise-Cancelling Headphones"/>
    <n v="1"/>
    <n v="162.11000000000001"/>
    <n v="162.11000000000001"/>
    <x v="4"/>
    <s v="Elena Cohen"/>
  </r>
  <r>
    <s v="SO-1137"/>
    <x v="50"/>
    <s v="Ergonomic Chair"/>
    <n v="5"/>
    <n v="153.15"/>
    <n v="765.75"/>
    <x v="1"/>
    <s v="Priya Herrera"/>
  </r>
  <r>
    <s v="SO-1138"/>
    <x v="79"/>
    <s v="Wireless Mouse"/>
    <n v="2"/>
    <n v="155.6"/>
    <n v="311.2"/>
    <x v="3"/>
    <s v="Sofia Kowalski"/>
  </r>
  <r>
    <s v="SO-1139"/>
    <x v="55"/>
    <s v="Standing Desk"/>
    <n v="6"/>
    <n v="16.7"/>
    <n v="100.2"/>
    <x v="1"/>
    <s v="Sofia Kowalski"/>
  </r>
  <r>
    <s v="SO-1140"/>
    <x v="70"/>
    <s v="Ergonomic Chair"/>
    <n v="6"/>
    <n v="19.100000000000001"/>
    <n v="114.6"/>
    <x v="0"/>
    <s v="Priya Herrera"/>
  </r>
  <r>
    <s v="SO-1141"/>
    <x v="75"/>
    <s v="Mechanical Keyboard"/>
    <n v="7"/>
    <n v="72.069999999999993"/>
    <n v="504.49"/>
    <x v="1"/>
    <s v="TomÃ¡s Tanaka"/>
  </r>
  <r>
    <s v="SO-1142"/>
    <x v="99"/>
    <s v="Ergonomic Chair"/>
    <n v="1"/>
    <n v="124.59"/>
    <n v="124.59"/>
    <x v="2"/>
    <s v="Elena Cohen"/>
  </r>
  <r>
    <s v="SO-1143"/>
    <x v="100"/>
    <s v="Cable Organizer"/>
    <n v="4"/>
    <n v="156.06"/>
    <n v="624.24"/>
    <x v="3"/>
    <s v="Omar Haddad"/>
  </r>
  <r>
    <s v="SO-1144"/>
    <x v="92"/>
    <s v="Standing Desk"/>
    <n v="7"/>
    <n v="209.76"/>
    <n v="1468.32"/>
    <x v="3"/>
    <s v="Elena Cohen"/>
  </r>
  <r>
    <s v="SO-1145"/>
    <x v="54"/>
    <s v="Webcam 1080p"/>
    <n v="4"/>
    <n v="156.38"/>
    <n v="625.52"/>
    <x v="1"/>
    <s v="Chen Bennett"/>
  </r>
  <r>
    <s v="SO-1146"/>
    <x v="81"/>
    <s v="Ergonomic Chair"/>
    <n v="1"/>
    <n v="160.51"/>
    <n v="160.51"/>
    <x v="0"/>
    <s v="Sofia Kowalski"/>
  </r>
  <r>
    <s v="SO-1147"/>
    <x v="93"/>
    <s v="Webcam 1080p"/>
    <n v="5"/>
    <n v="97.85"/>
    <n v="489.25"/>
    <x v="4"/>
    <s v="Sofia Kowalski"/>
  </r>
  <r>
    <s v="SO-1148"/>
    <x v="34"/>
    <s v="Noise-Cancelling Headphones"/>
    <n v="7"/>
    <n v="154.63"/>
    <n v="1082.4100000000001"/>
    <x v="1"/>
    <s v="Priya Herrera"/>
  </r>
  <r>
    <s v="SO-1149"/>
    <x v="101"/>
    <s v="Noise-Cancelling Headphones"/>
    <n v="3"/>
    <n v="151.96"/>
    <n v="455.88"/>
    <x v="2"/>
    <s v="Sofia Kowalski"/>
  </r>
  <r>
    <s v="SO-1150"/>
    <x v="52"/>
    <s v="27-inch Monitor"/>
    <n v="4"/>
    <n v="150.59"/>
    <n v="602.36"/>
    <x v="3"/>
    <s v="Omar Haddad"/>
  </r>
  <r>
    <s v="SO-1151"/>
    <x v="89"/>
    <s v="Cable Organizer"/>
    <n v="3"/>
    <n v="52.27"/>
    <n v="156.81"/>
    <x v="2"/>
    <s v="Elena Cohen"/>
  </r>
  <r>
    <s v="SO-1152"/>
    <x v="6"/>
    <s v="Laptop Stand"/>
    <n v="1"/>
    <n v="48.08"/>
    <n v="48.08"/>
    <x v="2"/>
    <s v="Chen Bennett"/>
  </r>
  <r>
    <s v="SO-1153"/>
    <x v="102"/>
    <s v="Webcam 1080p"/>
    <n v="7"/>
    <n v="125.23"/>
    <n v="876.61"/>
    <x v="1"/>
    <s v="Omar Haddad"/>
  </r>
  <r>
    <s v="SO-1154"/>
    <x v="103"/>
    <s v="Ergonomic Chair"/>
    <n v="2"/>
    <n v="76.06"/>
    <n v="152.12"/>
    <x v="4"/>
    <s v="Omar Haddad"/>
  </r>
  <r>
    <s v="SO-1155"/>
    <x v="69"/>
    <s v="Cable Organizer"/>
    <n v="5"/>
    <n v="177.09"/>
    <n v="885.45"/>
    <x v="0"/>
    <s v="TomÃ¡s Tanaka"/>
  </r>
  <r>
    <s v="SO-1156"/>
    <x v="104"/>
    <s v="Standing Desk"/>
    <n v="2"/>
    <n v="81.39"/>
    <n v="162.78"/>
    <x v="0"/>
    <s v="Elena Cohen"/>
  </r>
  <r>
    <s v="SO-1157"/>
    <x v="47"/>
    <s v="Laptop Stand"/>
    <n v="8"/>
    <n v="186.75"/>
    <n v="1494"/>
    <x v="4"/>
    <s v="Sofia Kowalski"/>
  </r>
  <r>
    <s v="SO-1158"/>
    <x v="27"/>
    <s v="USB-C Hub"/>
    <n v="5"/>
    <n v="105.75"/>
    <n v="528.75"/>
    <x v="1"/>
    <s v="Sofia Kowalski"/>
  </r>
  <r>
    <s v="SO-1159"/>
    <x v="65"/>
    <s v="Cable Organizer"/>
    <n v="1"/>
    <n v="166.85"/>
    <n v="166.85"/>
    <x v="2"/>
    <s v="TomÃ¡s Tanaka"/>
  </r>
  <r>
    <s v="SO-1160"/>
    <x v="67"/>
    <s v="Ergonomic Chair"/>
    <n v="4"/>
    <n v="84.28"/>
    <n v="337.12"/>
    <x v="4"/>
    <s v="Priya Herrera"/>
  </r>
  <r>
    <s v="SO-1161"/>
    <x v="62"/>
    <s v="Desk Lamp"/>
    <n v="6"/>
    <n v="131.34"/>
    <n v="788.04"/>
    <x v="1"/>
    <s v="Priya Herrera"/>
  </r>
  <r>
    <s v="SO-1162"/>
    <x v="26"/>
    <s v="Ergonomic Chair"/>
    <n v="5"/>
    <n v="162.13999999999999"/>
    <n v="810.7"/>
    <x v="4"/>
    <s v="Omar Haddad"/>
  </r>
  <r>
    <s v="SO-1163"/>
    <x v="104"/>
    <s v="Wireless Mouse"/>
    <n v="3"/>
    <n v="202.78"/>
    <n v="608.34"/>
    <x v="4"/>
    <s v="Sofia Kowalski"/>
  </r>
  <r>
    <s v="SO-1164"/>
    <x v="105"/>
    <s v="USB-C Hub"/>
    <n v="4"/>
    <n v="15.58"/>
    <n v="62.32"/>
    <x v="2"/>
    <s v="TomÃ¡s Tanaka"/>
  </r>
  <r>
    <s v="SO-1165"/>
    <x v="106"/>
    <s v="External SSD 1TB"/>
    <n v="4"/>
    <n v="80.59"/>
    <n v="322.36"/>
    <x v="0"/>
    <s v="Chen Bennett"/>
  </r>
  <r>
    <s v="SO-1166"/>
    <x v="50"/>
    <s v="27-inch Monitor"/>
    <n v="8"/>
    <n v="82.73"/>
    <n v="661.84"/>
    <x v="4"/>
    <s v="Chen Bennett"/>
  </r>
  <r>
    <s v="SO-1167"/>
    <x v="24"/>
    <s v="Webcam 1080p"/>
    <n v="4"/>
    <n v="20.57"/>
    <n v="82.28"/>
    <x v="4"/>
    <s v="Chen Bennett"/>
  </r>
  <r>
    <s v="SO-1168"/>
    <x v="44"/>
    <s v="27-inch Monitor"/>
    <n v="5"/>
    <n v="26.98"/>
    <n v="134.9"/>
    <x v="3"/>
    <s v="Sofia Kowalski"/>
  </r>
  <r>
    <s v="SO-1169"/>
    <x v="27"/>
    <s v="Webcam 1080p"/>
    <n v="7"/>
    <n v="216.51"/>
    <n v="1515.57"/>
    <x v="0"/>
    <s v="TomÃ¡s Tanaka"/>
  </r>
  <r>
    <s v="SO-1170"/>
    <x v="7"/>
    <s v="Standing Desk"/>
    <n v="6"/>
    <n v="119.56"/>
    <n v="717.36"/>
    <x v="3"/>
    <s v="Elena Cohen"/>
  </r>
  <r>
    <s v="SO-1171"/>
    <x v="69"/>
    <s v="Laptop Stand"/>
    <n v="6"/>
    <n v="67.73"/>
    <n v="406.38"/>
    <x v="4"/>
    <s v="Chen Bennett"/>
  </r>
  <r>
    <s v="SO-1172"/>
    <x v="49"/>
    <s v="Noise-Cancelling Headphones"/>
    <n v="3"/>
    <n v="88.69"/>
    <n v="266.07"/>
    <x v="4"/>
    <s v="Priya Herrera"/>
  </r>
  <r>
    <s v="SO-1173"/>
    <x v="107"/>
    <s v="Noise-Cancelling Headphones"/>
    <n v="7"/>
    <n v="17.850000000000001"/>
    <n v="124.95"/>
    <x v="4"/>
    <s v="Elena Cohen"/>
  </r>
  <r>
    <s v="SO-1174"/>
    <x v="108"/>
    <s v="Webcam 1080p"/>
    <n v="2"/>
    <n v="100.99"/>
    <n v="201.98"/>
    <x v="4"/>
    <s v="Priya Herrera"/>
  </r>
  <r>
    <s v="SO-1175"/>
    <x v="14"/>
    <s v="Mechanical Keyboard"/>
    <n v="1"/>
    <n v="111.2"/>
    <n v="111.2"/>
    <x v="3"/>
    <s v="TomÃ¡s Tanaka"/>
  </r>
  <r>
    <s v="SO-1176"/>
    <x v="109"/>
    <s v="27-inch Monitor"/>
    <n v="2"/>
    <n v="101.15"/>
    <n v="202.3"/>
    <x v="1"/>
    <s v="Elena Cohen"/>
  </r>
  <r>
    <s v="SO-1177"/>
    <x v="34"/>
    <s v="USB-C Hub"/>
    <n v="6"/>
    <n v="133.08000000000001"/>
    <n v="798.48"/>
    <x v="4"/>
    <s v="Priya Herrera"/>
  </r>
  <r>
    <s v="SO-1178"/>
    <x v="31"/>
    <s v="Standing Desk"/>
    <n v="1"/>
    <n v="230.15"/>
    <n v="230.15"/>
    <x v="2"/>
    <s v="Omar Haddad"/>
  </r>
  <r>
    <s v="SO-1179"/>
    <x v="4"/>
    <s v="Desk Lamp"/>
    <n v="6"/>
    <n v="97.76"/>
    <n v="586.55999999999995"/>
    <x v="4"/>
    <s v="Omar Haddad"/>
  </r>
  <r>
    <s v="SO-1180"/>
    <x v="110"/>
    <s v="Standing Desk"/>
    <n v="3"/>
    <n v="71.11"/>
    <n v="213.33"/>
    <x v="2"/>
    <s v="Sofia Kowalski"/>
  </r>
  <r>
    <s v="SO-1181"/>
    <x v="111"/>
    <s v="Laptop Stand"/>
    <n v="3"/>
    <n v="65.77"/>
    <n v="197.31"/>
    <x v="1"/>
    <s v="Priya Herrera"/>
  </r>
  <r>
    <s v="SO-1182"/>
    <x v="47"/>
    <s v="Laptop Stand"/>
    <n v="1"/>
    <n v="31.73"/>
    <n v="31.73"/>
    <x v="4"/>
    <s v="Omar Haddad"/>
  </r>
  <r>
    <s v="SO-1183"/>
    <x v="76"/>
    <s v="Desk Lamp"/>
    <n v="8"/>
    <n v="99.49"/>
    <n v="795.92"/>
    <x v="0"/>
    <s v="Sofia Kowalski"/>
  </r>
  <r>
    <s v="SO-1184"/>
    <x v="112"/>
    <s v="External SSD 1TB"/>
    <n v="2"/>
    <n v="221.17"/>
    <n v="442.34"/>
    <x v="3"/>
    <s v="TomÃ¡s Tanaka"/>
  </r>
  <r>
    <s v="SO-1185"/>
    <x v="113"/>
    <s v="27-inch Monitor"/>
    <n v="2"/>
    <n v="67.08"/>
    <n v="134.16"/>
    <x v="2"/>
    <s v="Sofia Kowalski"/>
  </r>
  <r>
    <s v="SO-1186"/>
    <x v="114"/>
    <s v="Ergonomic Chair"/>
    <n v="6"/>
    <n v="33.5"/>
    <n v="201"/>
    <x v="4"/>
    <s v="TomÃ¡s Tanaka"/>
  </r>
  <r>
    <s v="SO-1187"/>
    <x v="16"/>
    <s v="27-inch Monitor"/>
    <n v="5"/>
    <n v="50.2"/>
    <n v="251"/>
    <x v="4"/>
    <s v="Chen Bennett"/>
  </r>
  <r>
    <s v="SO-1188"/>
    <x v="115"/>
    <s v="USB-C Hub"/>
    <n v="6"/>
    <n v="58.2"/>
    <n v="349.2"/>
    <x v="2"/>
    <s v="Elena Cohen"/>
  </r>
  <r>
    <s v="SO-1189"/>
    <x v="78"/>
    <s v="USB-C Hub"/>
    <n v="8"/>
    <n v="94.53"/>
    <n v="756.24"/>
    <x v="2"/>
    <s v="Priya Herrera"/>
  </r>
  <r>
    <s v="SO-1190"/>
    <x v="116"/>
    <s v="Noise-Cancelling Headphones"/>
    <n v="1"/>
    <n v="95.14"/>
    <n v="95.14"/>
    <x v="4"/>
    <s v="Elena Cohen"/>
  </r>
  <r>
    <s v="SO-1191"/>
    <x v="110"/>
    <s v="Wireless Mouse"/>
    <n v="4"/>
    <n v="166.53"/>
    <n v="666.12"/>
    <x v="4"/>
    <s v="Priya Herrera"/>
  </r>
  <r>
    <s v="SO-1192"/>
    <x v="8"/>
    <s v="Webcam 1080p"/>
    <n v="7"/>
    <n v="80.180000000000007"/>
    <n v="561.26"/>
    <x v="1"/>
    <s v="Omar Haddad"/>
  </r>
  <r>
    <s v="SO-1193"/>
    <x v="109"/>
    <s v="Desk Lamp"/>
    <n v="4"/>
    <n v="225.85"/>
    <n v="903.4"/>
    <x v="4"/>
    <s v="Elena Cohen"/>
  </r>
  <r>
    <s v="SO-1194"/>
    <x v="84"/>
    <s v="Cable Organizer"/>
    <n v="4"/>
    <n v="213.73"/>
    <n v="854.92"/>
    <x v="4"/>
    <s v="Omar Haddad"/>
  </r>
  <r>
    <s v="SO-1195"/>
    <x v="32"/>
    <s v="Webcam 1080p"/>
    <n v="6"/>
    <n v="235.01"/>
    <n v="1410.06"/>
    <x v="0"/>
    <s v="Sofia Kowalski"/>
  </r>
  <r>
    <s v="SO-1196"/>
    <x v="117"/>
    <s v="Wireless Mouse"/>
    <n v="4"/>
    <n v="177.54"/>
    <n v="710.16"/>
    <x v="3"/>
    <s v="Priya Herrera"/>
  </r>
  <r>
    <s v="SO-1197"/>
    <x v="32"/>
    <s v="Cable Organizer"/>
    <n v="6"/>
    <n v="210.8"/>
    <n v="1264.8"/>
    <x v="2"/>
    <s v="Omar Haddad"/>
  </r>
  <r>
    <s v="SO-1198"/>
    <x v="102"/>
    <s v="USB-C Hub"/>
    <n v="1"/>
    <n v="10.1"/>
    <n v="10.1"/>
    <x v="1"/>
    <s v="Priya Herrera"/>
  </r>
  <r>
    <s v="SO-1199"/>
    <x v="44"/>
    <s v="Wireless Mouse"/>
    <n v="8"/>
    <n v="192.08"/>
    <n v="1536.64"/>
    <x v="0"/>
    <s v="TomÃ¡s Tanaka"/>
  </r>
  <r>
    <s v="SO-1200"/>
    <x v="42"/>
    <s v="Cable Organizer"/>
    <n v="6"/>
    <n v="134.68"/>
    <n v="808.08"/>
    <x v="0"/>
    <s v="Priya Herrera"/>
  </r>
  <r>
    <s v="SO-1201"/>
    <x v="109"/>
    <s v="External SSD 1TB"/>
    <n v="4"/>
    <n v="24.02"/>
    <n v="96.08"/>
    <x v="3"/>
    <s v="Chen Bennett"/>
  </r>
  <r>
    <s v="SO-1202"/>
    <x v="118"/>
    <s v="Laptop Stand"/>
    <n v="7"/>
    <n v="90.5"/>
    <n v="633.5"/>
    <x v="2"/>
    <s v="Elena Cohen"/>
  </r>
  <r>
    <s v="SO-1203"/>
    <x v="119"/>
    <s v="Noise-Cancelling Headphones"/>
    <n v="4"/>
    <n v="189.38"/>
    <n v="757.52"/>
    <x v="4"/>
    <s v="TomÃ¡s Tanaka"/>
  </r>
  <r>
    <s v="SO-1204"/>
    <x v="44"/>
    <s v="USB-C Hub"/>
    <n v="6"/>
    <n v="102.39"/>
    <n v="614.34"/>
    <x v="3"/>
    <s v="Priya Herrera"/>
  </r>
  <r>
    <s v="SO-1205"/>
    <x v="52"/>
    <s v="Noise-Cancelling Headphones"/>
    <n v="4"/>
    <n v="221.55"/>
    <n v="886.2"/>
    <x v="1"/>
    <s v="Chen Bennett"/>
  </r>
  <r>
    <s v="SO-1206"/>
    <x v="120"/>
    <s v="USB-C Hub"/>
    <n v="7"/>
    <n v="229.99"/>
    <n v="1609.93"/>
    <x v="1"/>
    <s v="TomÃ¡s Tanaka"/>
  </r>
  <r>
    <s v="SO-1207"/>
    <x v="35"/>
    <s v="External SSD 1TB"/>
    <n v="3"/>
    <n v="107.72"/>
    <n v="323.16000000000003"/>
    <x v="0"/>
    <s v="Priya Herrera"/>
  </r>
  <r>
    <s v="SO-1208"/>
    <x v="121"/>
    <s v="27-inch Monitor"/>
    <n v="3"/>
    <n v="25.74"/>
    <n v="77.22"/>
    <x v="2"/>
    <s v="Sofia Kowalski"/>
  </r>
  <r>
    <s v="SO-1209"/>
    <x v="80"/>
    <s v="Ergonomic Chair"/>
    <n v="3"/>
    <n v="165.15"/>
    <n v="495.45"/>
    <x v="2"/>
    <s v="Sofia Kowalski"/>
  </r>
  <r>
    <s v="SO-1210"/>
    <x v="122"/>
    <s v="Standing Desk"/>
    <n v="4"/>
    <n v="192.3"/>
    <n v="769.2"/>
    <x v="2"/>
    <s v="Priya Herrera"/>
  </r>
  <r>
    <s v="SO-1211"/>
    <x v="110"/>
    <s v="Desk Lamp"/>
    <n v="8"/>
    <n v="222.49"/>
    <n v="1779.92"/>
    <x v="3"/>
    <s v="Chen Bennett"/>
  </r>
  <r>
    <s v="SO-1212"/>
    <x v="49"/>
    <s v="Standing Desk"/>
    <n v="4"/>
    <n v="176.62"/>
    <n v="706.48"/>
    <x v="1"/>
    <s v="Elena Cohen"/>
  </r>
  <r>
    <s v="SO-1213"/>
    <x v="104"/>
    <s v="27-inch Monitor"/>
    <n v="4"/>
    <n v="19.88"/>
    <n v="79.52"/>
    <x v="2"/>
    <s v="Sofia Kowalski"/>
  </r>
  <r>
    <s v="SO-1214"/>
    <x v="18"/>
    <s v="Wireless Mouse"/>
    <n v="6"/>
    <n v="80.459999999999994"/>
    <n v="482.76"/>
    <x v="2"/>
    <s v="Omar Haddad"/>
  </r>
  <r>
    <s v="SO-1215"/>
    <x v="123"/>
    <s v="Webcam 1080p"/>
    <n v="8"/>
    <n v="59.83"/>
    <n v="478.64"/>
    <x v="0"/>
    <s v="TomÃ¡s Tanaka"/>
  </r>
  <r>
    <s v="SO-1216"/>
    <x v="124"/>
    <s v="Laptop Stand"/>
    <n v="6"/>
    <n v="247.09"/>
    <n v="1482.54"/>
    <x v="3"/>
    <s v="TomÃ¡s Tanaka"/>
  </r>
  <r>
    <s v="SO-1217"/>
    <x v="33"/>
    <s v="Laptop Stand"/>
    <n v="8"/>
    <n v="75.78"/>
    <n v="606.24"/>
    <x v="0"/>
    <s v="TomÃ¡s Tanaka"/>
  </r>
  <r>
    <s v="SO-1218"/>
    <x v="6"/>
    <s v="USB-C Hub"/>
    <n v="8"/>
    <n v="84.2"/>
    <n v="673.6"/>
    <x v="1"/>
    <s v="Chen Bennett"/>
  </r>
  <r>
    <s v="SO-1219"/>
    <x v="26"/>
    <s v="Noise-Cancelling Headphones"/>
    <n v="6"/>
    <n v="176.53"/>
    <n v="1059.18"/>
    <x v="2"/>
    <s v="Elena Cohen"/>
  </r>
  <r>
    <s v="SO-1220"/>
    <x v="57"/>
    <s v="Cable Organizer"/>
    <n v="1"/>
    <n v="41.52"/>
    <n v="41.52"/>
    <x v="3"/>
    <s v="Elena Cohen"/>
  </r>
  <r>
    <s v="SO-1221"/>
    <x v="125"/>
    <s v="Mechanical Keyboard"/>
    <n v="8"/>
    <n v="170.93"/>
    <n v="1367.44"/>
    <x v="1"/>
    <s v="Priya Herrera"/>
  </r>
  <r>
    <s v="SO-1222"/>
    <x v="27"/>
    <s v="Standing Desk"/>
    <n v="6"/>
    <n v="95.04"/>
    <n v="570.24"/>
    <x v="4"/>
    <s v="Priya Herrera"/>
  </r>
  <r>
    <s v="SO-1223"/>
    <x v="82"/>
    <s v="External SSD 1TB"/>
    <n v="5"/>
    <n v="69.34"/>
    <n v="346.7"/>
    <x v="3"/>
    <s v="Omar Haddad"/>
  </r>
  <r>
    <s v="SO-1224"/>
    <x v="124"/>
    <s v="Noise-Cancelling Headphones"/>
    <n v="6"/>
    <n v="84.34"/>
    <n v="506.04"/>
    <x v="0"/>
    <s v="TomÃ¡s Tanaka"/>
  </r>
  <r>
    <s v="SO-1225"/>
    <x v="126"/>
    <s v="Webcam 1080p"/>
    <n v="7"/>
    <n v="229.31"/>
    <n v="1605.17"/>
    <x v="2"/>
    <s v="Elena Cohen"/>
  </r>
  <r>
    <s v="SO-1226"/>
    <x v="127"/>
    <s v="Standing Desk"/>
    <n v="6"/>
    <n v="94.56"/>
    <n v="567.36"/>
    <x v="1"/>
    <s v="TomÃ¡s Tanaka"/>
  </r>
  <r>
    <s v="SO-1227"/>
    <x v="69"/>
    <s v="27-inch Monitor"/>
    <n v="2"/>
    <n v="69.33"/>
    <n v="138.66"/>
    <x v="4"/>
    <s v="TomÃ¡s Tanaka"/>
  </r>
  <r>
    <s v="SO-1228"/>
    <x v="113"/>
    <s v="27-inch Monitor"/>
    <n v="5"/>
    <n v="188.12"/>
    <n v="940.6"/>
    <x v="3"/>
    <s v="Priya Herrera"/>
  </r>
  <r>
    <s v="SO-1229"/>
    <x v="23"/>
    <s v="Ergonomic Chair"/>
    <n v="1"/>
    <n v="246.25"/>
    <n v="246.25"/>
    <x v="3"/>
    <s v="Priya Herrera"/>
  </r>
  <r>
    <s v="SO-1230"/>
    <x v="128"/>
    <s v="Webcam 1080p"/>
    <n v="3"/>
    <n v="112.88"/>
    <n v="338.64"/>
    <x v="0"/>
    <s v="Priya Herrera"/>
  </r>
  <r>
    <s v="SO-1231"/>
    <x v="14"/>
    <s v="Desk Lamp"/>
    <n v="1"/>
    <n v="231.32"/>
    <n v="231.32"/>
    <x v="0"/>
    <s v="Elena Cohen"/>
  </r>
  <r>
    <s v="SO-1232"/>
    <x v="129"/>
    <s v="Standing Desk"/>
    <n v="6"/>
    <n v="22.2"/>
    <n v="133.19999999999999"/>
    <x v="1"/>
    <s v="TomÃ¡s Tanaka"/>
  </r>
  <r>
    <s v="SO-1233"/>
    <x v="49"/>
    <s v="External SSD 1TB"/>
    <n v="1"/>
    <n v="183.55"/>
    <n v="183.55"/>
    <x v="4"/>
    <s v="Omar Haddad"/>
  </r>
  <r>
    <s v="SO-1234"/>
    <x v="104"/>
    <s v="Ergonomic Chair"/>
    <n v="3"/>
    <n v="108.9"/>
    <n v="326.7"/>
    <x v="3"/>
    <s v="Sofia Kowalski"/>
  </r>
  <r>
    <s v="SO-1235"/>
    <x v="114"/>
    <s v="External SSD 1TB"/>
    <n v="3"/>
    <n v="51.62"/>
    <n v="154.86000000000001"/>
    <x v="0"/>
    <s v="Elena Cohen"/>
  </r>
  <r>
    <s v="SO-1236"/>
    <x v="130"/>
    <s v="Ergonomic Chair"/>
    <n v="2"/>
    <n v="115.03"/>
    <n v="230.06"/>
    <x v="4"/>
    <s v="Chen Bennett"/>
  </r>
  <r>
    <s v="SO-1237"/>
    <x v="129"/>
    <s v="Cable Organizer"/>
    <n v="8"/>
    <n v="208.4"/>
    <n v="1667.2"/>
    <x v="0"/>
    <s v="Sofia Kowalski"/>
  </r>
  <r>
    <s v="SO-1238"/>
    <x v="128"/>
    <s v="Wireless Mouse"/>
    <n v="2"/>
    <n v="137.09"/>
    <n v="274.18"/>
    <x v="2"/>
    <s v="TomÃ¡s Tanaka"/>
  </r>
  <r>
    <s v="SO-1239"/>
    <x v="98"/>
    <s v="Desk Lamp"/>
    <n v="6"/>
    <n v="163.43"/>
    <n v="980.58"/>
    <x v="1"/>
    <s v="Omar Haddad"/>
  </r>
  <r>
    <s v="SO-1240"/>
    <x v="8"/>
    <s v="Webcam 1080p"/>
    <n v="6"/>
    <n v="160.47"/>
    <n v="962.82"/>
    <x v="3"/>
    <s v="Chen Bennett"/>
  </r>
  <r>
    <m/>
    <x v="131"/>
    <m/>
    <m/>
    <m/>
    <m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SO-1001"/>
    <d v="2026-05-04T00:00:00"/>
    <x v="0"/>
    <n v="6"/>
    <n v="112.7"/>
    <n v="676.2"/>
    <s v="North"/>
    <s v="Sofia Kowalski"/>
  </r>
  <r>
    <s v="SO-1002"/>
    <d v="2026-06-26T00:00:00"/>
    <x v="1"/>
    <n v="6"/>
    <n v="35.78"/>
    <n v="214.68"/>
    <s v="South"/>
    <s v="Sofia Kowalski"/>
  </r>
  <r>
    <s v="SO-1003"/>
    <d v="2026-03-08T00:00:00"/>
    <x v="2"/>
    <n v="1"/>
    <n v="111.15"/>
    <n v="111.15"/>
    <s v="South"/>
    <s v="Elena Cohen"/>
  </r>
  <r>
    <s v="SO-1004"/>
    <d v="2026-02-14T00:00:00"/>
    <x v="3"/>
    <n v="1"/>
    <n v="112.67"/>
    <n v="112.67"/>
    <s v="East"/>
    <s v="Omar Haddad"/>
  </r>
  <r>
    <s v="SO-1005"/>
    <d v="2026-02-22T00:00:00"/>
    <x v="3"/>
    <n v="1"/>
    <n v="54.09"/>
    <n v="54.09"/>
    <s v="Central"/>
    <s v="Sofia Kowalski"/>
  </r>
  <r>
    <s v="SO-1006"/>
    <d v="2026-01-18T00:00:00"/>
    <x v="4"/>
    <n v="4"/>
    <n v="215.54"/>
    <n v="862.16"/>
    <s v="West"/>
    <s v="Omar Haddad"/>
  </r>
  <r>
    <s v="SO-1007"/>
    <d v="2026-04-13T00:00:00"/>
    <x v="5"/>
    <n v="3"/>
    <n v="17.52"/>
    <n v="52.56"/>
    <s v="East"/>
    <s v="TomÃ¡s Tanaka"/>
  </r>
  <r>
    <s v="SO-1008"/>
    <d v="2026-05-06T00:00:00"/>
    <x v="6"/>
    <n v="6"/>
    <n v="181.65"/>
    <n v="1089.9000000000001"/>
    <s v="West"/>
    <s v="Omar Haddad"/>
  </r>
  <r>
    <s v="SO-1009"/>
    <d v="2026-04-04T00:00:00"/>
    <x v="7"/>
    <n v="8"/>
    <n v="28.72"/>
    <n v="229.76"/>
    <s v="East"/>
    <s v="Sofia Kowalski"/>
  </r>
  <r>
    <s v="SO-1010"/>
    <d v="2026-03-01T00:00:00"/>
    <x v="8"/>
    <n v="7"/>
    <n v="143.97"/>
    <n v="1007.79"/>
    <s v="East"/>
    <s v="Priya Herrera"/>
  </r>
  <r>
    <s v="SO-1011"/>
    <d v="2026-01-27T00:00:00"/>
    <x v="5"/>
    <n v="7"/>
    <n v="147.79"/>
    <n v="1034.53"/>
    <s v="North"/>
    <s v="Priya Herrera"/>
  </r>
  <r>
    <s v="SO-1012"/>
    <d v="2026-05-19T00:00:00"/>
    <x v="9"/>
    <n v="5"/>
    <n v="206.67"/>
    <n v="1033.3499999999999"/>
    <s v="North"/>
    <s v="Chen Bennett"/>
  </r>
  <r>
    <s v="SO-1013"/>
    <d v="2026-04-19T00:00:00"/>
    <x v="1"/>
    <n v="6"/>
    <n v="119.74"/>
    <n v="718.44"/>
    <s v="South"/>
    <s v="TomÃ¡s Tanaka"/>
  </r>
  <r>
    <s v="SO-1014"/>
    <d v="2026-04-16T00:00:00"/>
    <x v="0"/>
    <n v="2"/>
    <n v="179.18"/>
    <n v="358.36"/>
    <s v="North"/>
    <s v="TomÃ¡s Tanaka"/>
  </r>
  <r>
    <s v="SO-1015"/>
    <d v="2026-06-14T00:00:00"/>
    <x v="10"/>
    <n v="8"/>
    <n v="149.41"/>
    <n v="1195.28"/>
    <s v="East"/>
    <s v="Chen Bennett"/>
  </r>
  <r>
    <s v="SO-1016"/>
    <d v="2026-01-06T00:00:00"/>
    <x v="8"/>
    <n v="1"/>
    <n v="223.56"/>
    <n v="223.56"/>
    <s v="Central"/>
    <s v="Elena Cohen"/>
  </r>
  <r>
    <s v="SO-1017"/>
    <d v="2026-03-11T00:00:00"/>
    <x v="4"/>
    <n v="7"/>
    <n v="59.12"/>
    <n v="413.84"/>
    <s v="North"/>
    <s v="Chen Bennett"/>
  </r>
  <r>
    <s v="SO-1018"/>
    <d v="2026-04-17T00:00:00"/>
    <x v="0"/>
    <n v="7"/>
    <n v="90.62"/>
    <n v="634.34"/>
    <s v="East"/>
    <s v="Priya Herrera"/>
  </r>
  <r>
    <s v="SO-1019"/>
    <d v="2026-01-10T00:00:00"/>
    <x v="3"/>
    <n v="2"/>
    <n v="197.09"/>
    <n v="394.18"/>
    <s v="East"/>
    <s v="Sofia Kowalski"/>
  </r>
  <r>
    <s v="SO-1020"/>
    <d v="2026-06-29T00:00:00"/>
    <x v="7"/>
    <n v="4"/>
    <n v="167.13"/>
    <n v="668.52"/>
    <s v="East"/>
    <s v="Priya Herrera"/>
  </r>
  <r>
    <s v="SO-1021"/>
    <d v="2026-04-16T00:00:00"/>
    <x v="9"/>
    <n v="3"/>
    <n v="63.19"/>
    <n v="189.57"/>
    <s v="South"/>
    <s v="Sofia Kowalski"/>
  </r>
  <r>
    <s v="SO-1022"/>
    <d v="2026-03-17T00:00:00"/>
    <x v="10"/>
    <n v="3"/>
    <n v="36.67"/>
    <n v="110.01"/>
    <s v="East"/>
    <s v="TomÃ¡s Tanaka"/>
  </r>
  <r>
    <s v="SO-1023"/>
    <d v="2026-03-26T00:00:00"/>
    <x v="1"/>
    <n v="2"/>
    <n v="179.02"/>
    <n v="358.04"/>
    <s v="Central"/>
    <s v="Omar Haddad"/>
  </r>
  <r>
    <s v="SO-1024"/>
    <d v="2026-03-30T00:00:00"/>
    <x v="4"/>
    <n v="1"/>
    <n v="54.88"/>
    <n v="54.88"/>
    <s v="Central"/>
    <s v="Elena Cohen"/>
  </r>
  <r>
    <s v="SO-1025"/>
    <d v="2026-06-28T00:00:00"/>
    <x v="7"/>
    <n v="4"/>
    <n v="161.26"/>
    <n v="645.04"/>
    <s v="East"/>
    <s v="Elena Cohen"/>
  </r>
  <r>
    <s v="SO-1026"/>
    <d v="2026-05-21T00:00:00"/>
    <x v="7"/>
    <n v="5"/>
    <n v="214.71"/>
    <n v="1073.55"/>
    <s v="West"/>
    <s v="Sofia Kowalski"/>
  </r>
  <r>
    <s v="SO-1027"/>
    <d v="2026-02-11T00:00:00"/>
    <x v="9"/>
    <n v="5"/>
    <n v="12.96"/>
    <n v="64.8"/>
    <s v="Central"/>
    <s v="Sofia Kowalski"/>
  </r>
  <r>
    <s v="SO-1028"/>
    <d v="2026-01-18T00:00:00"/>
    <x v="5"/>
    <n v="5"/>
    <n v="68.38"/>
    <n v="341.9"/>
    <s v="Central"/>
    <s v="Priya Herrera"/>
  </r>
  <r>
    <s v="SO-1029"/>
    <d v="2026-06-21T00:00:00"/>
    <x v="0"/>
    <n v="4"/>
    <n v="30.61"/>
    <n v="122.44"/>
    <s v="Central"/>
    <s v="Elena Cohen"/>
  </r>
  <r>
    <s v="SO-1030"/>
    <d v="2026-01-24T00:00:00"/>
    <x v="0"/>
    <n v="8"/>
    <n v="103.99"/>
    <n v="831.92"/>
    <s v="Central"/>
    <s v="Priya Herrera"/>
  </r>
  <r>
    <s v="SO-1031"/>
    <d v="2026-02-14T00:00:00"/>
    <x v="4"/>
    <n v="1"/>
    <n v="217.69"/>
    <n v="217.69"/>
    <s v="Central"/>
    <s v="Elena Cohen"/>
  </r>
  <r>
    <s v="SO-1032"/>
    <d v="2026-06-13T00:00:00"/>
    <x v="9"/>
    <n v="4"/>
    <n v="248.32"/>
    <n v="993.28"/>
    <s v="North"/>
    <s v="Chen Bennett"/>
  </r>
  <r>
    <s v="SO-1033"/>
    <d v="2026-02-12T00:00:00"/>
    <x v="7"/>
    <n v="7"/>
    <n v="197.63"/>
    <n v="1383.41"/>
    <s v="West"/>
    <s v="Omar Haddad"/>
  </r>
  <r>
    <s v="SO-1034"/>
    <d v="2026-04-23T00:00:00"/>
    <x v="11"/>
    <n v="1"/>
    <n v="153.5"/>
    <n v="153.5"/>
    <s v="East"/>
    <s v="Sofia Kowalski"/>
  </r>
  <r>
    <s v="SO-1035"/>
    <d v="2026-06-28T00:00:00"/>
    <x v="3"/>
    <n v="4"/>
    <n v="202.9"/>
    <n v="811.6"/>
    <s v="South"/>
    <s v="Omar Haddad"/>
  </r>
  <r>
    <s v="SO-1036"/>
    <d v="2026-02-26T00:00:00"/>
    <x v="9"/>
    <n v="5"/>
    <n v="135.96"/>
    <n v="679.8"/>
    <s v="Central"/>
    <s v="Chen Bennett"/>
  </r>
  <r>
    <s v="SO-1037"/>
    <d v="2026-01-02T00:00:00"/>
    <x v="5"/>
    <n v="6"/>
    <n v="74.489999999999995"/>
    <n v="446.94"/>
    <s v="East"/>
    <s v="Chen Bennett"/>
  </r>
  <r>
    <s v="SO-1038"/>
    <d v="2026-02-02T00:00:00"/>
    <x v="9"/>
    <n v="4"/>
    <n v="115.64"/>
    <n v="462.56"/>
    <s v="East"/>
    <s v="Elena Cohen"/>
  </r>
  <r>
    <s v="SO-1039"/>
    <d v="2026-06-09T00:00:00"/>
    <x v="7"/>
    <n v="5"/>
    <n v="245.5"/>
    <n v="1227.5"/>
    <s v="Central"/>
    <s v="Elena Cohen"/>
  </r>
  <r>
    <s v="SO-1040"/>
    <d v="2026-04-30T00:00:00"/>
    <x v="7"/>
    <n v="5"/>
    <n v="161.72"/>
    <n v="808.6"/>
    <s v="Central"/>
    <s v="Priya Herrera"/>
  </r>
  <r>
    <s v="SO-1041"/>
    <d v="2026-02-26T00:00:00"/>
    <x v="6"/>
    <n v="1"/>
    <n v="213.38"/>
    <n v="213.38"/>
    <s v="East"/>
    <s v="Sofia Kowalski"/>
  </r>
  <r>
    <s v="SO-1042"/>
    <d v="2026-05-09T00:00:00"/>
    <x v="5"/>
    <n v="3"/>
    <n v="221.01"/>
    <n v="663.03"/>
    <s v="Central"/>
    <s v="Elena Cohen"/>
  </r>
  <r>
    <s v="SO-1043"/>
    <d v="2026-05-23T00:00:00"/>
    <x v="3"/>
    <n v="4"/>
    <n v="158.94999999999999"/>
    <n v="635.79999999999995"/>
    <s v="North"/>
    <s v="Elena Cohen"/>
  </r>
  <r>
    <s v="SO-1044"/>
    <d v="2026-02-01T00:00:00"/>
    <x v="5"/>
    <n v="5"/>
    <n v="37.47"/>
    <n v="187.35"/>
    <s v="West"/>
    <s v="Omar Haddad"/>
  </r>
  <r>
    <s v="SO-1045"/>
    <d v="2026-04-02T00:00:00"/>
    <x v="9"/>
    <n v="7"/>
    <n v="124.94"/>
    <n v="874.58"/>
    <s v="South"/>
    <s v="Sofia Kowalski"/>
  </r>
  <r>
    <s v="SO-1046"/>
    <d v="2026-05-11T00:00:00"/>
    <x v="2"/>
    <n v="1"/>
    <n v="80.58"/>
    <n v="80.58"/>
    <s v="West"/>
    <s v="Chen Bennett"/>
  </r>
  <r>
    <s v="SO-1047"/>
    <d v="2026-01-30T00:00:00"/>
    <x v="10"/>
    <n v="7"/>
    <n v="143.93"/>
    <n v="1007.51"/>
    <s v="East"/>
    <s v="Sofia Kowalski"/>
  </r>
  <r>
    <s v="SO-1048"/>
    <d v="2026-01-04T00:00:00"/>
    <x v="8"/>
    <n v="1"/>
    <n v="151.12"/>
    <n v="151.12"/>
    <s v="West"/>
    <s v="TomÃ¡s Tanaka"/>
  </r>
  <r>
    <s v="SO-1049"/>
    <d v="2026-04-12T00:00:00"/>
    <x v="5"/>
    <n v="4"/>
    <n v="84.27"/>
    <n v="337.08"/>
    <s v="South"/>
    <s v="Omar Haddad"/>
  </r>
  <r>
    <s v="SO-1050"/>
    <d v="2026-01-27T00:00:00"/>
    <x v="9"/>
    <n v="1"/>
    <n v="96.96"/>
    <n v="96.96"/>
    <s v="North"/>
    <s v="Sofia Kowalski"/>
  </r>
  <r>
    <s v="SO-1051"/>
    <d v="2026-01-16T00:00:00"/>
    <x v="8"/>
    <n v="7"/>
    <n v="155.38999999999999"/>
    <n v="1087.73"/>
    <s v="Central"/>
    <s v="Omar Haddad"/>
  </r>
  <r>
    <s v="SO-1052"/>
    <d v="2026-03-04T00:00:00"/>
    <x v="0"/>
    <n v="3"/>
    <n v="125.54"/>
    <n v="376.62"/>
    <s v="East"/>
    <s v="Sofia Kowalski"/>
  </r>
  <r>
    <s v="SO-1053"/>
    <d v="2026-03-22T00:00:00"/>
    <x v="8"/>
    <n v="5"/>
    <n v="70.790000000000006"/>
    <n v="353.95"/>
    <s v="East"/>
    <s v="TomÃ¡s Tanaka"/>
  </r>
  <r>
    <s v="SO-1054"/>
    <d v="2026-05-09T00:00:00"/>
    <x v="6"/>
    <n v="6"/>
    <n v="204.83"/>
    <n v="1228.98"/>
    <s v="Central"/>
    <s v="Sofia Kowalski"/>
  </r>
  <r>
    <s v="SO-1055"/>
    <d v="2026-06-23T00:00:00"/>
    <x v="10"/>
    <n v="8"/>
    <n v="190.17"/>
    <n v="1521.36"/>
    <s v="South"/>
    <s v="Sofia Kowalski"/>
  </r>
  <r>
    <s v="SO-1056"/>
    <d v="2026-06-09T00:00:00"/>
    <x v="11"/>
    <n v="7"/>
    <n v="239.78"/>
    <n v="1678.46"/>
    <s v="Central"/>
    <s v="Sofia Kowalski"/>
  </r>
  <r>
    <s v="SO-1057"/>
    <d v="2026-04-03T00:00:00"/>
    <x v="9"/>
    <n v="8"/>
    <n v="14"/>
    <n v="112"/>
    <s v="West"/>
    <s v="Chen Bennett"/>
  </r>
  <r>
    <s v="SO-1058"/>
    <d v="2026-06-20T00:00:00"/>
    <x v="9"/>
    <n v="2"/>
    <n v="191.22"/>
    <n v="382.44"/>
    <s v="Central"/>
    <s v="TomÃ¡s Tanaka"/>
  </r>
  <r>
    <s v="SO-1059"/>
    <d v="2026-06-11T00:00:00"/>
    <x v="3"/>
    <n v="2"/>
    <n v="183.47"/>
    <n v="366.94"/>
    <s v="West"/>
    <s v="TomÃ¡s Tanaka"/>
  </r>
  <r>
    <s v="SO-1060"/>
    <d v="2026-06-12T00:00:00"/>
    <x v="11"/>
    <n v="2"/>
    <n v="36.29"/>
    <n v="72.58"/>
    <s v="South"/>
    <s v="Priya Herrera"/>
  </r>
  <r>
    <s v="SO-1061"/>
    <d v="2026-04-27T00:00:00"/>
    <x v="5"/>
    <n v="7"/>
    <n v="208.15"/>
    <n v="1457.05"/>
    <s v="North"/>
    <s v="TomÃ¡s Tanaka"/>
  </r>
  <r>
    <s v="SO-1062"/>
    <d v="2026-01-10T00:00:00"/>
    <x v="7"/>
    <n v="5"/>
    <n v="103.77"/>
    <n v="518.85"/>
    <s v="East"/>
    <s v="Elena Cohen"/>
  </r>
  <r>
    <s v="SO-1063"/>
    <d v="2026-04-01T00:00:00"/>
    <x v="5"/>
    <n v="7"/>
    <n v="229.06"/>
    <n v="1603.42"/>
    <s v="East"/>
    <s v="Elena Cohen"/>
  </r>
  <r>
    <s v="SO-1064"/>
    <d v="2026-06-10T00:00:00"/>
    <x v="10"/>
    <n v="6"/>
    <n v="132.61000000000001"/>
    <n v="795.66"/>
    <s v="South"/>
    <s v="Priya Herrera"/>
  </r>
  <r>
    <s v="SO-1065"/>
    <d v="2026-06-23T00:00:00"/>
    <x v="9"/>
    <n v="7"/>
    <n v="213.29"/>
    <n v="1493.03"/>
    <s v="Central"/>
    <s v="Omar Haddad"/>
  </r>
  <r>
    <s v="SO-1066"/>
    <d v="2026-05-27T00:00:00"/>
    <x v="8"/>
    <n v="4"/>
    <n v="105.37"/>
    <n v="421.48"/>
    <s v="South"/>
    <s v="Chen Bennett"/>
  </r>
  <r>
    <s v="SO-1067"/>
    <d v="2026-02-18T00:00:00"/>
    <x v="6"/>
    <n v="1"/>
    <n v="55.16"/>
    <n v="55.16"/>
    <s v="West"/>
    <s v="Chen Bennett"/>
  </r>
  <r>
    <s v="SO-1068"/>
    <d v="2026-03-17T00:00:00"/>
    <x v="6"/>
    <n v="8"/>
    <n v="150.91"/>
    <n v="1207.28"/>
    <s v="North"/>
    <s v="Priya Herrera"/>
  </r>
  <r>
    <s v="SO-1069"/>
    <d v="2026-04-25T00:00:00"/>
    <x v="10"/>
    <n v="8"/>
    <n v="55.16"/>
    <n v="441.28"/>
    <s v="North"/>
    <s v="Elena Cohen"/>
  </r>
  <r>
    <s v="SO-1070"/>
    <d v="2026-05-05T00:00:00"/>
    <x v="7"/>
    <n v="8"/>
    <n v="114.94"/>
    <n v="919.52"/>
    <s v="West"/>
    <s v="TomÃ¡s Tanaka"/>
  </r>
  <r>
    <s v="SO-1071"/>
    <d v="2026-01-21T00:00:00"/>
    <x v="10"/>
    <n v="7"/>
    <n v="123.53"/>
    <n v="864.71"/>
    <s v="East"/>
    <s v="Priya Herrera"/>
  </r>
  <r>
    <s v="SO-1072"/>
    <d v="2026-04-21T00:00:00"/>
    <x v="0"/>
    <n v="6"/>
    <n v="106.03"/>
    <n v="636.17999999999995"/>
    <s v="North"/>
    <s v="TomÃ¡s Tanaka"/>
  </r>
  <r>
    <s v="SO-1073"/>
    <d v="2026-02-16T00:00:00"/>
    <x v="9"/>
    <n v="8"/>
    <n v="179.22"/>
    <n v="1433.76"/>
    <s v="Central"/>
    <s v="TomÃ¡s Tanaka"/>
  </r>
  <r>
    <s v="SO-1074"/>
    <d v="2026-04-21T00:00:00"/>
    <x v="7"/>
    <n v="7"/>
    <n v="162.66"/>
    <n v="1138.6199999999999"/>
    <s v="North"/>
    <s v="Chen Bennett"/>
  </r>
  <r>
    <s v="SO-1075"/>
    <d v="2026-05-02T00:00:00"/>
    <x v="8"/>
    <n v="5"/>
    <n v="207.98"/>
    <n v="1039.9000000000001"/>
    <s v="West"/>
    <s v="Sofia Kowalski"/>
  </r>
  <r>
    <s v="SO-1076"/>
    <d v="2026-05-18T00:00:00"/>
    <x v="11"/>
    <n v="7"/>
    <n v="123.91"/>
    <n v="867.37"/>
    <s v="North"/>
    <s v="Sofia Kowalski"/>
  </r>
  <r>
    <s v="SO-1077"/>
    <d v="2026-05-16T00:00:00"/>
    <x v="3"/>
    <n v="4"/>
    <n v="134.83000000000001"/>
    <n v="539.32000000000005"/>
    <s v="Central"/>
    <s v="TomÃ¡s Tanaka"/>
  </r>
  <r>
    <s v="SO-1078"/>
    <d v="2026-05-21T00:00:00"/>
    <x v="6"/>
    <n v="6"/>
    <n v="80.19"/>
    <n v="481.14"/>
    <s v="North"/>
    <s v="Omar Haddad"/>
  </r>
  <r>
    <s v="SO-1079"/>
    <d v="2026-04-04T00:00:00"/>
    <x v="2"/>
    <n v="6"/>
    <n v="45.83"/>
    <n v="274.98"/>
    <s v="North"/>
    <s v="Omar Haddad"/>
  </r>
  <r>
    <s v="SO-1080"/>
    <d v="2026-03-12T00:00:00"/>
    <x v="5"/>
    <n v="7"/>
    <n v="97.22"/>
    <n v="680.54"/>
    <s v="West"/>
    <s v="Chen Bennett"/>
  </r>
  <r>
    <s v="SO-1081"/>
    <d v="2026-03-19T00:00:00"/>
    <x v="8"/>
    <n v="7"/>
    <n v="145.34"/>
    <n v="1017.38"/>
    <s v="South"/>
    <s v="Chen Bennett"/>
  </r>
  <r>
    <s v="SO-1082"/>
    <d v="2026-01-23T00:00:00"/>
    <x v="1"/>
    <n v="1"/>
    <n v="78.430000000000007"/>
    <n v="78.430000000000007"/>
    <s v="East"/>
    <s v="Elena Cohen"/>
  </r>
  <r>
    <s v="SO-1083"/>
    <d v="2026-02-22T00:00:00"/>
    <x v="8"/>
    <n v="4"/>
    <n v="24.31"/>
    <n v="97.24"/>
    <s v="South"/>
    <s v="Priya Herrera"/>
  </r>
  <r>
    <s v="SO-1084"/>
    <d v="2026-05-31T00:00:00"/>
    <x v="4"/>
    <n v="3"/>
    <n v="110.73"/>
    <n v="332.19"/>
    <s v="West"/>
    <s v="Sofia Kowalski"/>
  </r>
  <r>
    <s v="SO-1085"/>
    <d v="2026-03-21T00:00:00"/>
    <x v="10"/>
    <n v="1"/>
    <n v="211.31"/>
    <n v="211.31"/>
    <s v="Central"/>
    <s v="Chen Bennett"/>
  </r>
  <r>
    <s v="SO-1086"/>
    <d v="2026-01-03T00:00:00"/>
    <x v="3"/>
    <n v="6"/>
    <n v="129.28"/>
    <n v="775.68"/>
    <s v="South"/>
    <s v="Elena Cohen"/>
  </r>
  <r>
    <s v="SO-1087"/>
    <d v="2026-05-12T00:00:00"/>
    <x v="3"/>
    <n v="6"/>
    <n v="119.41"/>
    <n v="716.46"/>
    <s v="East"/>
    <s v="Chen Bennett"/>
  </r>
  <r>
    <s v="SO-1088"/>
    <d v="2026-03-07T00:00:00"/>
    <x v="5"/>
    <n v="5"/>
    <n v="247.06"/>
    <n v="1235.3"/>
    <s v="Central"/>
    <s v="TomÃ¡s Tanaka"/>
  </r>
  <r>
    <s v="SO-1089"/>
    <d v="2026-06-26T00:00:00"/>
    <x v="10"/>
    <n v="8"/>
    <n v="70.14"/>
    <n v="561.12"/>
    <s v="South"/>
    <s v="Elena Cohen"/>
  </r>
  <r>
    <s v="SO-1090"/>
    <d v="2026-02-05T00:00:00"/>
    <x v="7"/>
    <n v="8"/>
    <n v="190.32"/>
    <n v="1522.56"/>
    <s v="West"/>
    <s v="TomÃ¡s Tanaka"/>
  </r>
  <r>
    <s v="SO-1091"/>
    <d v="2026-04-26T00:00:00"/>
    <x v="7"/>
    <n v="2"/>
    <n v="47.23"/>
    <n v="94.46"/>
    <s v="Central"/>
    <s v="Sofia Kowalski"/>
  </r>
  <r>
    <s v="SO-1092"/>
    <d v="2026-04-30T00:00:00"/>
    <x v="9"/>
    <n v="2"/>
    <n v="129.16"/>
    <n v="258.32"/>
    <s v="East"/>
    <s v="Sofia Kowalski"/>
  </r>
  <r>
    <s v="SO-1093"/>
    <d v="2026-03-24T00:00:00"/>
    <x v="9"/>
    <n v="4"/>
    <n v="204.21"/>
    <n v="816.84"/>
    <s v="North"/>
    <s v="Priya Herrera"/>
  </r>
  <r>
    <s v="SO-1094"/>
    <d v="2026-03-15T00:00:00"/>
    <x v="6"/>
    <n v="7"/>
    <n v="101.14"/>
    <n v="707.98"/>
    <s v="Central"/>
    <s v="Elena Cohen"/>
  </r>
  <r>
    <s v="SO-1095"/>
    <d v="2026-06-12T00:00:00"/>
    <x v="3"/>
    <n v="4"/>
    <n v="87.02"/>
    <n v="348.08"/>
    <s v="West"/>
    <s v="TomÃ¡s Tanaka"/>
  </r>
  <r>
    <s v="SO-1096"/>
    <d v="2026-01-14T00:00:00"/>
    <x v="1"/>
    <n v="3"/>
    <n v="95.05"/>
    <n v="285.14999999999998"/>
    <s v="North"/>
    <s v="Omar Haddad"/>
  </r>
  <r>
    <s v="SO-1097"/>
    <d v="2026-01-06T00:00:00"/>
    <x v="3"/>
    <n v="2"/>
    <n v="157.18"/>
    <n v="314.36"/>
    <s v="East"/>
    <s v="Sofia Kowalski"/>
  </r>
  <r>
    <s v="SO-1098"/>
    <d v="2026-06-11T00:00:00"/>
    <x v="0"/>
    <n v="7"/>
    <n v="200.15"/>
    <n v="1401.05"/>
    <s v="South"/>
    <s v="Omar Haddad"/>
  </r>
  <r>
    <s v="SO-1099"/>
    <d v="2026-04-09T00:00:00"/>
    <x v="10"/>
    <n v="8"/>
    <n v="211.02"/>
    <n v="1688.16"/>
    <s v="South"/>
    <s v="Priya Herrera"/>
  </r>
  <r>
    <s v="SO-1100"/>
    <d v="2026-05-28T00:00:00"/>
    <x v="4"/>
    <n v="6"/>
    <n v="95.39"/>
    <n v="572.34"/>
    <s v="North"/>
    <s v="Omar Haddad"/>
  </r>
  <r>
    <s v="SO-1101"/>
    <d v="2026-04-08T00:00:00"/>
    <x v="11"/>
    <n v="3"/>
    <n v="174.42"/>
    <n v="523.26"/>
    <s v="East"/>
    <s v="Priya Herrera"/>
  </r>
  <r>
    <s v="SO-1102"/>
    <d v="2026-05-09T00:00:00"/>
    <x v="5"/>
    <n v="3"/>
    <n v="20.420000000000002"/>
    <n v="61.26"/>
    <s v="North"/>
    <s v="Priya Herrera"/>
  </r>
  <r>
    <s v="SO-1103"/>
    <d v="2026-04-02T00:00:00"/>
    <x v="6"/>
    <n v="2"/>
    <n v="147.5"/>
    <n v="295"/>
    <s v="North"/>
    <s v="Chen Bennett"/>
  </r>
  <r>
    <s v="SO-1104"/>
    <d v="2026-02-17T00:00:00"/>
    <x v="11"/>
    <n v="5"/>
    <n v="145.81"/>
    <n v="729.05"/>
    <s v="North"/>
    <s v="Chen Bennett"/>
  </r>
  <r>
    <s v="SO-1105"/>
    <d v="2026-02-05T00:00:00"/>
    <x v="7"/>
    <n v="8"/>
    <n v="199.7"/>
    <n v="1597.6"/>
    <s v="South"/>
    <s v="Elena Cohen"/>
  </r>
  <r>
    <s v="SO-1106"/>
    <d v="2026-06-24T00:00:00"/>
    <x v="0"/>
    <n v="1"/>
    <n v="136.09"/>
    <n v="136.09"/>
    <s v="North"/>
    <s v="Elena Cohen"/>
  </r>
  <r>
    <s v="SO-1107"/>
    <d v="2026-06-25T00:00:00"/>
    <x v="7"/>
    <n v="5"/>
    <n v="199.37"/>
    <n v="996.85"/>
    <s v="West"/>
    <s v="Elena Cohen"/>
  </r>
  <r>
    <s v="SO-1108"/>
    <d v="2026-03-31T00:00:00"/>
    <x v="8"/>
    <n v="5"/>
    <n v="21.33"/>
    <n v="106.65"/>
    <s v="West"/>
    <s v="Sofia Kowalski"/>
  </r>
  <r>
    <s v="SO-1109"/>
    <d v="2026-04-11T00:00:00"/>
    <x v="0"/>
    <n v="5"/>
    <n v="92.38"/>
    <n v="461.9"/>
    <s v="South"/>
    <s v="Priya Herrera"/>
  </r>
  <r>
    <s v="SO-1110"/>
    <d v="2026-02-13T00:00:00"/>
    <x v="0"/>
    <n v="2"/>
    <n v="82.19"/>
    <n v="164.38"/>
    <s v="North"/>
    <s v="Chen Bennett"/>
  </r>
  <r>
    <s v="SO-1111"/>
    <d v="2026-06-27T00:00:00"/>
    <x v="3"/>
    <n v="5"/>
    <n v="164.71"/>
    <n v="823.55"/>
    <s v="South"/>
    <s v="Chen Bennett"/>
  </r>
  <r>
    <s v="SO-1112"/>
    <d v="2026-02-13T00:00:00"/>
    <x v="3"/>
    <n v="3"/>
    <n v="16.97"/>
    <n v="50.91"/>
    <s v="Central"/>
    <s v="Sofia Kowalski"/>
  </r>
  <r>
    <s v="SO-1113"/>
    <d v="2026-03-29T00:00:00"/>
    <x v="5"/>
    <n v="5"/>
    <n v="116.14"/>
    <n v="580.70000000000005"/>
    <s v="Central"/>
    <s v="TomÃ¡s Tanaka"/>
  </r>
  <r>
    <s v="SO-1114"/>
    <d v="2026-02-17T00:00:00"/>
    <x v="9"/>
    <n v="8"/>
    <n v="101.26"/>
    <n v="810.08"/>
    <s v="West"/>
    <s v="Priya Herrera"/>
  </r>
  <r>
    <s v="SO-1115"/>
    <d v="2026-03-25T00:00:00"/>
    <x v="5"/>
    <n v="3"/>
    <n v="106.98"/>
    <n v="320.94"/>
    <s v="North"/>
    <s v="Sofia Kowalski"/>
  </r>
  <r>
    <s v="SO-1116"/>
    <d v="2026-06-07T00:00:00"/>
    <x v="4"/>
    <n v="6"/>
    <n v="217.82"/>
    <n v="1306.92"/>
    <s v="North"/>
    <s v="Chen Bennett"/>
  </r>
  <r>
    <s v="SO-1117"/>
    <d v="2026-04-03T00:00:00"/>
    <x v="1"/>
    <n v="4"/>
    <n v="82.75"/>
    <n v="331"/>
    <s v="West"/>
    <s v="Omar Haddad"/>
  </r>
  <r>
    <s v="SO-1118"/>
    <d v="2026-06-28T00:00:00"/>
    <x v="2"/>
    <n v="2"/>
    <n v="63.53"/>
    <n v="127.06"/>
    <s v="North"/>
    <s v="Priya Herrera"/>
  </r>
  <r>
    <s v="SO-1119"/>
    <d v="2026-05-11T00:00:00"/>
    <x v="5"/>
    <n v="5"/>
    <n v="133.97999999999999"/>
    <n v="669.9"/>
    <s v="East"/>
    <s v="Elena Cohen"/>
  </r>
  <r>
    <s v="SO-1120"/>
    <d v="2026-05-08T00:00:00"/>
    <x v="10"/>
    <n v="2"/>
    <n v="40.29"/>
    <n v="80.58"/>
    <s v="Central"/>
    <s v="Chen Bennett"/>
  </r>
  <r>
    <s v="SO-1121"/>
    <d v="2026-03-24T00:00:00"/>
    <x v="8"/>
    <n v="5"/>
    <n v="67.680000000000007"/>
    <n v="338.4"/>
    <s v="Central"/>
    <s v="Omar Haddad"/>
  </r>
  <r>
    <s v="SO-1122"/>
    <d v="2026-01-24T00:00:00"/>
    <x v="4"/>
    <n v="4"/>
    <n v="155.01"/>
    <n v="620.04"/>
    <s v="Central"/>
    <s v="TomÃ¡s Tanaka"/>
  </r>
  <r>
    <s v="SO-1123"/>
    <d v="2026-06-08T00:00:00"/>
    <x v="3"/>
    <n v="7"/>
    <n v="164.92"/>
    <n v="1154.44"/>
    <s v="East"/>
    <s v="Sofia Kowalski"/>
  </r>
  <r>
    <s v="SO-1124"/>
    <d v="2026-01-08T00:00:00"/>
    <x v="2"/>
    <n v="4"/>
    <n v="73.540000000000006"/>
    <n v="294.16000000000003"/>
    <s v="West"/>
    <s v="Chen Bennett"/>
  </r>
  <r>
    <s v="SO-1125"/>
    <d v="2026-02-08T00:00:00"/>
    <x v="7"/>
    <n v="6"/>
    <n v="64.569999999999993"/>
    <n v="387.42"/>
    <s v="West"/>
    <s v="Elena Cohen"/>
  </r>
  <r>
    <s v="SO-1126"/>
    <d v="2026-02-25T00:00:00"/>
    <x v="7"/>
    <n v="6"/>
    <n v="100.31"/>
    <n v="601.86"/>
    <s v="Central"/>
    <s v="Chen Bennett"/>
  </r>
  <r>
    <s v="SO-1127"/>
    <d v="2026-01-14T00:00:00"/>
    <x v="10"/>
    <n v="2"/>
    <n v="101.62"/>
    <n v="203.24"/>
    <s v="East"/>
    <s v="Priya Herrera"/>
  </r>
  <r>
    <s v="SO-1128"/>
    <d v="2026-01-24T00:00:00"/>
    <x v="3"/>
    <n v="1"/>
    <n v="218.28"/>
    <n v="218.28"/>
    <s v="East"/>
    <s v="Priya Herrera"/>
  </r>
  <r>
    <s v="SO-1129"/>
    <d v="2026-05-02T00:00:00"/>
    <x v="11"/>
    <n v="7"/>
    <n v="136.88999999999999"/>
    <n v="958.23"/>
    <s v="West"/>
    <s v="Omar Haddad"/>
  </r>
  <r>
    <s v="SO-1130"/>
    <d v="2026-05-19T00:00:00"/>
    <x v="10"/>
    <n v="7"/>
    <n v="222.09"/>
    <n v="1554.63"/>
    <s v="East"/>
    <s v="Priya Herrera"/>
  </r>
  <r>
    <s v="SO-1131"/>
    <d v="2026-06-15T00:00:00"/>
    <x v="0"/>
    <n v="8"/>
    <n v="216.34"/>
    <n v="1730.72"/>
    <s v="South"/>
    <s v="Omar Haddad"/>
  </r>
  <r>
    <s v="SO-1132"/>
    <d v="2026-05-13T00:00:00"/>
    <x v="8"/>
    <n v="8"/>
    <n v="101.86"/>
    <n v="814.88"/>
    <s v="Central"/>
    <s v="Sofia Kowalski"/>
  </r>
  <r>
    <s v="SO-1133"/>
    <d v="2026-02-08T00:00:00"/>
    <x v="11"/>
    <n v="4"/>
    <n v="76.08"/>
    <n v="304.32"/>
    <s v="East"/>
    <s v="Omar Haddad"/>
  </r>
  <r>
    <s v="SO-1134"/>
    <d v="2026-05-15T00:00:00"/>
    <x v="3"/>
    <n v="4"/>
    <n v="86.42"/>
    <n v="345.68"/>
    <s v="North"/>
    <s v="TomÃ¡s Tanaka"/>
  </r>
  <r>
    <s v="SO-1135"/>
    <d v="2026-05-18T00:00:00"/>
    <x v="1"/>
    <n v="4"/>
    <n v="173.35"/>
    <n v="693.4"/>
    <s v="South"/>
    <s v="Priya Herrera"/>
  </r>
  <r>
    <s v="SO-1136"/>
    <d v="2026-06-24T00:00:00"/>
    <x v="6"/>
    <n v="1"/>
    <n v="162.11000000000001"/>
    <n v="162.11000000000001"/>
    <s v="West"/>
    <s v="Elena Cohen"/>
  </r>
  <r>
    <s v="SO-1137"/>
    <d v="2026-06-11T00:00:00"/>
    <x v="8"/>
    <n v="5"/>
    <n v="153.15"/>
    <n v="765.75"/>
    <s v="South"/>
    <s v="Priya Herrera"/>
  </r>
  <r>
    <s v="SO-1138"/>
    <d v="2026-05-28T00:00:00"/>
    <x v="9"/>
    <n v="2"/>
    <n v="155.6"/>
    <n v="311.2"/>
    <s v="Central"/>
    <s v="Sofia Kowalski"/>
  </r>
  <r>
    <s v="SO-1139"/>
    <d v="2026-05-27T00:00:00"/>
    <x v="2"/>
    <n v="6"/>
    <n v="16.7"/>
    <n v="100.2"/>
    <s v="South"/>
    <s v="Sofia Kowalski"/>
  </r>
  <r>
    <s v="SO-1140"/>
    <d v="2026-01-03T00:00:00"/>
    <x v="8"/>
    <n v="6"/>
    <n v="19.100000000000001"/>
    <n v="114.6"/>
    <s v="North"/>
    <s v="Priya Herrera"/>
  </r>
  <r>
    <s v="SO-1141"/>
    <d v="2026-03-24T00:00:00"/>
    <x v="0"/>
    <n v="7"/>
    <n v="72.069999999999993"/>
    <n v="504.49"/>
    <s v="South"/>
    <s v="TomÃ¡s Tanaka"/>
  </r>
  <r>
    <s v="SO-1142"/>
    <d v="2026-04-20T00:00:00"/>
    <x v="8"/>
    <n v="1"/>
    <n v="124.59"/>
    <n v="124.59"/>
    <s v="East"/>
    <s v="Elena Cohen"/>
  </r>
  <r>
    <s v="SO-1143"/>
    <d v="2026-04-22T00:00:00"/>
    <x v="5"/>
    <n v="4"/>
    <n v="156.06"/>
    <n v="624.24"/>
    <s v="Central"/>
    <s v="Omar Haddad"/>
  </r>
  <r>
    <s v="SO-1144"/>
    <d v="2026-06-08T00:00:00"/>
    <x v="2"/>
    <n v="7"/>
    <n v="209.76"/>
    <n v="1468.32"/>
    <s v="Central"/>
    <s v="Elena Cohen"/>
  </r>
  <r>
    <s v="SO-1145"/>
    <d v="2026-06-10T00:00:00"/>
    <x v="3"/>
    <n v="4"/>
    <n v="156.38"/>
    <n v="625.52"/>
    <s v="South"/>
    <s v="Chen Bennett"/>
  </r>
  <r>
    <s v="SO-1146"/>
    <d v="2026-02-17T00:00:00"/>
    <x v="8"/>
    <n v="1"/>
    <n v="160.51"/>
    <n v="160.51"/>
    <s v="North"/>
    <s v="Sofia Kowalski"/>
  </r>
  <r>
    <s v="SO-1147"/>
    <d v="2026-01-08T00:00:00"/>
    <x v="3"/>
    <n v="5"/>
    <n v="97.85"/>
    <n v="489.25"/>
    <s v="West"/>
    <s v="Sofia Kowalski"/>
  </r>
  <r>
    <s v="SO-1148"/>
    <d v="2026-06-09T00:00:00"/>
    <x v="6"/>
    <n v="7"/>
    <n v="154.63"/>
    <n v="1082.4100000000001"/>
    <s v="South"/>
    <s v="Priya Herrera"/>
  </r>
  <r>
    <s v="SO-1149"/>
    <d v="2026-06-04T00:00:00"/>
    <x v="6"/>
    <n v="3"/>
    <n v="151.96"/>
    <n v="455.88"/>
    <s v="East"/>
    <s v="Sofia Kowalski"/>
  </r>
  <r>
    <s v="SO-1150"/>
    <d v="2026-04-27T00:00:00"/>
    <x v="11"/>
    <n v="4"/>
    <n v="150.59"/>
    <n v="602.36"/>
    <s v="Central"/>
    <s v="Omar Haddad"/>
  </r>
  <r>
    <s v="SO-1151"/>
    <d v="2026-03-25T00:00:00"/>
    <x v="5"/>
    <n v="3"/>
    <n v="52.27"/>
    <n v="156.81"/>
    <s v="East"/>
    <s v="Elena Cohen"/>
  </r>
  <r>
    <s v="SO-1152"/>
    <d v="2026-04-13T00:00:00"/>
    <x v="7"/>
    <n v="1"/>
    <n v="48.08"/>
    <n v="48.08"/>
    <s v="East"/>
    <s v="Chen Bennett"/>
  </r>
  <r>
    <s v="SO-1153"/>
    <d v="2026-03-18T00:00:00"/>
    <x v="3"/>
    <n v="7"/>
    <n v="125.23"/>
    <n v="876.61"/>
    <s v="South"/>
    <s v="Omar Haddad"/>
  </r>
  <r>
    <s v="SO-1154"/>
    <d v="2026-02-07T00:00:00"/>
    <x v="8"/>
    <n v="2"/>
    <n v="76.06"/>
    <n v="152.12"/>
    <s v="West"/>
    <s v="Omar Haddad"/>
  </r>
  <r>
    <s v="SO-1155"/>
    <d v="2026-03-21T00:00:00"/>
    <x v="5"/>
    <n v="5"/>
    <n v="177.09"/>
    <n v="885.45"/>
    <s v="North"/>
    <s v="TomÃ¡s Tanaka"/>
  </r>
  <r>
    <s v="SO-1156"/>
    <d v="2026-03-23T00:00:00"/>
    <x v="2"/>
    <n v="2"/>
    <n v="81.39"/>
    <n v="162.78"/>
    <s v="North"/>
    <s v="Elena Cohen"/>
  </r>
  <r>
    <s v="SO-1157"/>
    <d v="2026-06-23T00:00:00"/>
    <x v="7"/>
    <n v="8"/>
    <n v="186.75"/>
    <n v="1494"/>
    <s v="West"/>
    <s v="Sofia Kowalski"/>
  </r>
  <r>
    <s v="SO-1158"/>
    <d v="2026-01-24T00:00:00"/>
    <x v="1"/>
    <n v="5"/>
    <n v="105.75"/>
    <n v="528.75"/>
    <s v="South"/>
    <s v="Sofia Kowalski"/>
  </r>
  <r>
    <s v="SO-1159"/>
    <d v="2026-03-12T00:00:00"/>
    <x v="5"/>
    <n v="1"/>
    <n v="166.85"/>
    <n v="166.85"/>
    <s v="East"/>
    <s v="TomÃ¡s Tanaka"/>
  </r>
  <r>
    <s v="SO-1160"/>
    <d v="2026-01-23T00:00:00"/>
    <x v="8"/>
    <n v="4"/>
    <n v="84.28"/>
    <n v="337.12"/>
    <s v="West"/>
    <s v="Priya Herrera"/>
  </r>
  <r>
    <s v="SO-1161"/>
    <d v="2026-05-02T00:00:00"/>
    <x v="4"/>
    <n v="6"/>
    <n v="131.34"/>
    <n v="788.04"/>
    <s v="South"/>
    <s v="Priya Herrera"/>
  </r>
  <r>
    <s v="SO-1162"/>
    <d v="2026-06-21T00:00:00"/>
    <x v="8"/>
    <n v="5"/>
    <n v="162.13999999999999"/>
    <n v="810.7"/>
    <s v="West"/>
    <s v="Omar Haddad"/>
  </r>
  <r>
    <s v="SO-1163"/>
    <d v="2026-03-23T00:00:00"/>
    <x v="9"/>
    <n v="3"/>
    <n v="202.78"/>
    <n v="608.34"/>
    <s v="West"/>
    <s v="Sofia Kowalski"/>
  </r>
  <r>
    <s v="SO-1164"/>
    <d v="2026-04-14T00:00:00"/>
    <x v="1"/>
    <n v="4"/>
    <n v="15.58"/>
    <n v="62.32"/>
    <s v="East"/>
    <s v="TomÃ¡s Tanaka"/>
  </r>
  <r>
    <s v="SO-1165"/>
    <d v="2026-01-05T00:00:00"/>
    <x v="10"/>
    <n v="4"/>
    <n v="80.59"/>
    <n v="322.36"/>
    <s v="North"/>
    <s v="Chen Bennett"/>
  </r>
  <r>
    <s v="SO-1166"/>
    <d v="2026-06-11T00:00:00"/>
    <x v="11"/>
    <n v="8"/>
    <n v="82.73"/>
    <n v="661.84"/>
    <s v="West"/>
    <s v="Chen Bennett"/>
  </r>
  <r>
    <s v="SO-1167"/>
    <d v="2026-05-21T00:00:00"/>
    <x v="3"/>
    <n v="4"/>
    <n v="20.57"/>
    <n v="82.28"/>
    <s v="West"/>
    <s v="Chen Bennett"/>
  </r>
  <r>
    <s v="SO-1168"/>
    <d v="2026-01-16T00:00:00"/>
    <x v="11"/>
    <n v="5"/>
    <n v="26.98"/>
    <n v="134.9"/>
    <s v="Central"/>
    <s v="Sofia Kowalski"/>
  </r>
  <r>
    <s v="SO-1169"/>
    <d v="2026-01-24T00:00:00"/>
    <x v="3"/>
    <n v="7"/>
    <n v="216.51"/>
    <n v="1515.57"/>
    <s v="North"/>
    <s v="TomÃ¡s Tanaka"/>
  </r>
  <r>
    <s v="SO-1170"/>
    <d v="2026-05-06T00:00:00"/>
    <x v="2"/>
    <n v="6"/>
    <n v="119.56"/>
    <n v="717.36"/>
    <s v="Central"/>
    <s v="Elena Cohen"/>
  </r>
  <r>
    <s v="SO-1171"/>
    <d v="2026-03-21T00:00:00"/>
    <x v="7"/>
    <n v="6"/>
    <n v="67.73"/>
    <n v="406.38"/>
    <s v="West"/>
    <s v="Chen Bennett"/>
  </r>
  <r>
    <s v="SO-1172"/>
    <d v="2026-06-20T00:00:00"/>
    <x v="6"/>
    <n v="3"/>
    <n v="88.69"/>
    <n v="266.07"/>
    <s v="West"/>
    <s v="Priya Herrera"/>
  </r>
  <r>
    <s v="SO-1173"/>
    <d v="2026-05-20T00:00:00"/>
    <x v="6"/>
    <n v="7"/>
    <n v="17.850000000000001"/>
    <n v="124.95"/>
    <s v="West"/>
    <s v="Elena Cohen"/>
  </r>
  <r>
    <s v="SO-1174"/>
    <d v="2026-05-07T00:00:00"/>
    <x v="3"/>
    <n v="2"/>
    <n v="100.99"/>
    <n v="201.98"/>
    <s v="West"/>
    <s v="Priya Herrera"/>
  </r>
  <r>
    <s v="SO-1175"/>
    <d v="2026-06-14T00:00:00"/>
    <x v="0"/>
    <n v="1"/>
    <n v="111.2"/>
    <n v="111.2"/>
    <s v="Central"/>
    <s v="TomÃ¡s Tanaka"/>
  </r>
  <r>
    <s v="SO-1176"/>
    <d v="2026-03-03T00:00:00"/>
    <x v="11"/>
    <n v="2"/>
    <n v="101.15"/>
    <n v="202.3"/>
    <s v="South"/>
    <s v="Elena Cohen"/>
  </r>
  <r>
    <s v="SO-1177"/>
    <d v="2026-06-09T00:00:00"/>
    <x v="1"/>
    <n v="6"/>
    <n v="133.08000000000001"/>
    <n v="798.48"/>
    <s v="West"/>
    <s v="Priya Herrera"/>
  </r>
  <r>
    <s v="SO-1178"/>
    <d v="2026-02-26T00:00:00"/>
    <x v="2"/>
    <n v="1"/>
    <n v="230.15"/>
    <n v="230.15"/>
    <s v="East"/>
    <s v="Omar Haddad"/>
  </r>
  <r>
    <s v="SO-1179"/>
    <d v="2026-02-22T00:00:00"/>
    <x v="4"/>
    <n v="6"/>
    <n v="97.76"/>
    <n v="586.55999999999995"/>
    <s v="West"/>
    <s v="Omar Haddad"/>
  </r>
  <r>
    <s v="SO-1180"/>
    <d v="2026-05-14T00:00:00"/>
    <x v="2"/>
    <n v="3"/>
    <n v="71.11"/>
    <n v="213.33"/>
    <s v="East"/>
    <s v="Sofia Kowalski"/>
  </r>
  <r>
    <s v="SO-1181"/>
    <d v="2026-06-22T00:00:00"/>
    <x v="7"/>
    <n v="3"/>
    <n v="65.77"/>
    <n v="197.31"/>
    <s v="South"/>
    <s v="Priya Herrera"/>
  </r>
  <r>
    <s v="SO-1182"/>
    <d v="2026-06-23T00:00:00"/>
    <x v="7"/>
    <n v="1"/>
    <n v="31.73"/>
    <n v="31.73"/>
    <s v="West"/>
    <s v="Omar Haddad"/>
  </r>
  <r>
    <s v="SO-1183"/>
    <d v="2026-03-15T00:00:00"/>
    <x v="4"/>
    <n v="8"/>
    <n v="99.49"/>
    <n v="795.92"/>
    <s v="North"/>
    <s v="Sofia Kowalski"/>
  </r>
  <r>
    <s v="SO-1184"/>
    <d v="2026-06-16T00:00:00"/>
    <x v="10"/>
    <n v="2"/>
    <n v="221.17"/>
    <n v="442.34"/>
    <s v="Central"/>
    <s v="TomÃ¡s Tanaka"/>
  </r>
  <r>
    <s v="SO-1185"/>
    <d v="2026-04-07T00:00:00"/>
    <x v="11"/>
    <n v="2"/>
    <n v="67.08"/>
    <n v="134.16"/>
    <s v="East"/>
    <s v="Sofia Kowalski"/>
  </r>
  <r>
    <s v="SO-1186"/>
    <d v="2026-02-04T00:00:00"/>
    <x v="8"/>
    <n v="6"/>
    <n v="33.5"/>
    <n v="201"/>
    <s v="West"/>
    <s v="TomÃ¡s Tanaka"/>
  </r>
  <r>
    <s v="SO-1187"/>
    <d v="2026-03-11T00:00:00"/>
    <x v="11"/>
    <n v="5"/>
    <n v="50.2"/>
    <n v="251"/>
    <s v="West"/>
    <s v="Chen Bennett"/>
  </r>
  <r>
    <s v="SO-1188"/>
    <d v="2026-03-20T00:00:00"/>
    <x v="1"/>
    <n v="6"/>
    <n v="58.2"/>
    <n v="349.2"/>
    <s v="East"/>
    <s v="Elena Cohen"/>
  </r>
  <r>
    <s v="SO-1189"/>
    <d v="2026-04-09T00:00:00"/>
    <x v="1"/>
    <n v="8"/>
    <n v="94.53"/>
    <n v="756.24"/>
    <s v="East"/>
    <s v="Priya Herrera"/>
  </r>
  <r>
    <s v="SO-1190"/>
    <d v="2026-04-18T00:00:00"/>
    <x v="6"/>
    <n v="1"/>
    <n v="95.14"/>
    <n v="95.14"/>
    <s v="West"/>
    <s v="Elena Cohen"/>
  </r>
  <r>
    <s v="SO-1191"/>
    <d v="2026-05-14T00:00:00"/>
    <x v="9"/>
    <n v="4"/>
    <n v="166.53"/>
    <n v="666.12"/>
    <s v="West"/>
    <s v="Priya Herrera"/>
  </r>
  <r>
    <s v="SO-1192"/>
    <d v="2026-04-04T00:00:00"/>
    <x v="3"/>
    <n v="7"/>
    <n v="80.180000000000007"/>
    <n v="561.26"/>
    <s v="South"/>
    <s v="Omar Haddad"/>
  </r>
  <r>
    <s v="SO-1193"/>
    <d v="2026-03-03T00:00:00"/>
    <x v="4"/>
    <n v="4"/>
    <n v="225.85"/>
    <n v="903.4"/>
    <s v="West"/>
    <s v="Elena Cohen"/>
  </r>
  <r>
    <s v="SO-1194"/>
    <d v="2026-03-31T00:00:00"/>
    <x v="5"/>
    <n v="4"/>
    <n v="213.73"/>
    <n v="854.92"/>
    <s v="West"/>
    <s v="Omar Haddad"/>
  </r>
  <r>
    <s v="SO-1195"/>
    <d v="2026-01-02T00:00:00"/>
    <x v="3"/>
    <n v="6"/>
    <n v="235.01"/>
    <n v="1410.06"/>
    <s v="North"/>
    <s v="Sofia Kowalski"/>
  </r>
  <r>
    <s v="SO-1196"/>
    <d v="2026-01-26T00:00:00"/>
    <x v="9"/>
    <n v="4"/>
    <n v="177.54"/>
    <n v="710.16"/>
    <s v="Central"/>
    <s v="Priya Herrera"/>
  </r>
  <r>
    <s v="SO-1197"/>
    <d v="2026-01-02T00:00:00"/>
    <x v="5"/>
    <n v="6"/>
    <n v="210.8"/>
    <n v="1264.8"/>
    <s v="East"/>
    <s v="Omar Haddad"/>
  </r>
  <r>
    <s v="SO-1198"/>
    <d v="2026-03-18T00:00:00"/>
    <x v="1"/>
    <n v="1"/>
    <n v="10.1"/>
    <n v="10.1"/>
    <s v="South"/>
    <s v="Priya Herrera"/>
  </r>
  <r>
    <s v="SO-1199"/>
    <d v="2026-01-16T00:00:00"/>
    <x v="9"/>
    <n v="8"/>
    <n v="192.08"/>
    <n v="1536.64"/>
    <s v="North"/>
    <s v="TomÃ¡s Tanaka"/>
  </r>
  <r>
    <s v="SO-1200"/>
    <d v="2026-01-04T00:00:00"/>
    <x v="5"/>
    <n v="6"/>
    <n v="134.68"/>
    <n v="808.08"/>
    <s v="North"/>
    <s v="Priya Herrera"/>
  </r>
  <r>
    <s v="SO-1201"/>
    <d v="2026-03-03T00:00:00"/>
    <x v="10"/>
    <n v="4"/>
    <n v="24.02"/>
    <n v="96.08"/>
    <s v="Central"/>
    <s v="Chen Bennett"/>
  </r>
  <r>
    <s v="SO-1202"/>
    <d v="2026-06-05T00:00:00"/>
    <x v="7"/>
    <n v="7"/>
    <n v="90.5"/>
    <n v="633.5"/>
    <s v="East"/>
    <s v="Elena Cohen"/>
  </r>
  <r>
    <s v="SO-1203"/>
    <d v="2026-05-29T00:00:00"/>
    <x v="6"/>
    <n v="4"/>
    <n v="189.38"/>
    <n v="757.52"/>
    <s v="West"/>
    <s v="TomÃ¡s Tanaka"/>
  </r>
  <r>
    <s v="SO-1204"/>
    <d v="2026-01-16T00:00:00"/>
    <x v="1"/>
    <n v="6"/>
    <n v="102.39"/>
    <n v="614.34"/>
    <s v="Central"/>
    <s v="Priya Herrera"/>
  </r>
  <r>
    <s v="SO-1205"/>
    <d v="2026-04-27T00:00:00"/>
    <x v="6"/>
    <n v="4"/>
    <n v="221.55"/>
    <n v="886.2"/>
    <s v="South"/>
    <s v="Chen Bennett"/>
  </r>
  <r>
    <s v="SO-1206"/>
    <d v="2026-01-28T00:00:00"/>
    <x v="1"/>
    <n v="7"/>
    <n v="229.99"/>
    <n v="1609.93"/>
    <s v="South"/>
    <s v="TomÃ¡s Tanaka"/>
  </r>
  <r>
    <s v="SO-1207"/>
    <d v="2026-04-30T00:00:00"/>
    <x v="10"/>
    <n v="3"/>
    <n v="107.72"/>
    <n v="323.16000000000003"/>
    <s v="North"/>
    <s v="Priya Herrera"/>
  </r>
  <r>
    <s v="SO-1208"/>
    <d v="2026-01-29T00:00:00"/>
    <x v="11"/>
    <n v="3"/>
    <n v="25.74"/>
    <n v="77.22"/>
    <s v="East"/>
    <s v="Sofia Kowalski"/>
  </r>
  <r>
    <s v="SO-1209"/>
    <d v="2026-04-08T00:00:00"/>
    <x v="8"/>
    <n v="3"/>
    <n v="165.15"/>
    <n v="495.45"/>
    <s v="East"/>
    <s v="Sofia Kowalski"/>
  </r>
  <r>
    <s v="SO-1210"/>
    <d v="2026-01-31T00:00:00"/>
    <x v="2"/>
    <n v="4"/>
    <n v="192.3"/>
    <n v="769.2"/>
    <s v="East"/>
    <s v="Priya Herrera"/>
  </r>
  <r>
    <s v="SO-1211"/>
    <d v="2026-05-14T00:00:00"/>
    <x v="4"/>
    <n v="8"/>
    <n v="222.49"/>
    <n v="1779.92"/>
    <s v="Central"/>
    <s v="Chen Bennett"/>
  </r>
  <r>
    <s v="SO-1212"/>
    <d v="2026-06-20T00:00:00"/>
    <x v="2"/>
    <n v="4"/>
    <n v="176.62"/>
    <n v="706.48"/>
    <s v="South"/>
    <s v="Elena Cohen"/>
  </r>
  <r>
    <s v="SO-1213"/>
    <d v="2026-03-23T00:00:00"/>
    <x v="11"/>
    <n v="4"/>
    <n v="19.88"/>
    <n v="79.52"/>
    <s v="East"/>
    <s v="Sofia Kowalski"/>
  </r>
  <r>
    <s v="SO-1214"/>
    <d v="2026-01-10T00:00:00"/>
    <x v="9"/>
    <n v="6"/>
    <n v="80.459999999999994"/>
    <n v="482.76"/>
    <s v="East"/>
    <s v="Omar Haddad"/>
  </r>
  <r>
    <s v="SO-1215"/>
    <d v="2026-04-10T00:00:00"/>
    <x v="3"/>
    <n v="8"/>
    <n v="59.83"/>
    <n v="478.64"/>
    <s v="North"/>
    <s v="TomÃ¡s Tanaka"/>
  </r>
  <r>
    <s v="SO-1216"/>
    <d v="2026-04-29T00:00:00"/>
    <x v="7"/>
    <n v="6"/>
    <n v="247.09"/>
    <n v="1482.54"/>
    <s v="Central"/>
    <s v="TomÃ¡s Tanaka"/>
  </r>
  <r>
    <s v="SO-1217"/>
    <d v="2026-02-02T00:00:00"/>
    <x v="7"/>
    <n v="8"/>
    <n v="75.78"/>
    <n v="606.24"/>
    <s v="North"/>
    <s v="TomÃ¡s Tanaka"/>
  </r>
  <r>
    <s v="SO-1218"/>
    <d v="2026-04-13T00:00:00"/>
    <x v="1"/>
    <n v="8"/>
    <n v="84.2"/>
    <n v="673.6"/>
    <s v="South"/>
    <s v="Chen Bennett"/>
  </r>
  <r>
    <s v="SO-1219"/>
    <d v="2026-06-21T00:00:00"/>
    <x v="6"/>
    <n v="6"/>
    <n v="176.53"/>
    <n v="1059.18"/>
    <s v="East"/>
    <s v="Elena Cohen"/>
  </r>
  <r>
    <s v="SO-1220"/>
    <d v="2026-04-25T00:00:00"/>
    <x v="5"/>
    <n v="1"/>
    <n v="41.52"/>
    <n v="41.52"/>
    <s v="Central"/>
    <s v="Elena Cohen"/>
  </r>
  <r>
    <s v="SO-1221"/>
    <d v="2026-06-19T00:00:00"/>
    <x v="0"/>
    <n v="8"/>
    <n v="170.93"/>
    <n v="1367.44"/>
    <s v="South"/>
    <s v="Priya Herrera"/>
  </r>
  <r>
    <s v="SO-1222"/>
    <d v="2026-01-24T00:00:00"/>
    <x v="2"/>
    <n v="6"/>
    <n v="95.04"/>
    <n v="570.24"/>
    <s v="West"/>
    <s v="Priya Herrera"/>
  </r>
  <r>
    <s v="SO-1223"/>
    <d v="2026-06-24T00:00:00"/>
    <x v="10"/>
    <n v="5"/>
    <n v="69.34"/>
    <n v="346.7"/>
    <s v="Central"/>
    <s v="Omar Haddad"/>
  </r>
  <r>
    <s v="SO-1224"/>
    <d v="2026-04-29T00:00:00"/>
    <x v="6"/>
    <n v="6"/>
    <n v="84.34"/>
    <n v="506.04"/>
    <s v="North"/>
    <s v="TomÃ¡s Tanaka"/>
  </r>
  <r>
    <s v="SO-1225"/>
    <d v="2026-03-02T00:00:00"/>
    <x v="3"/>
    <n v="7"/>
    <n v="229.31"/>
    <n v="1605.17"/>
    <s v="East"/>
    <s v="Elena Cohen"/>
  </r>
  <r>
    <s v="SO-1226"/>
    <d v="2026-02-15T00:00:00"/>
    <x v="2"/>
    <n v="6"/>
    <n v="94.56"/>
    <n v="567.36"/>
    <s v="South"/>
    <s v="TomÃ¡s Tanaka"/>
  </r>
  <r>
    <s v="SO-1227"/>
    <d v="2026-03-21T00:00:00"/>
    <x v="11"/>
    <n v="2"/>
    <n v="69.33"/>
    <n v="138.66"/>
    <s v="West"/>
    <s v="TomÃ¡s Tanaka"/>
  </r>
  <r>
    <s v="SO-1228"/>
    <d v="2026-04-07T00:00:00"/>
    <x v="11"/>
    <n v="5"/>
    <n v="188.12"/>
    <n v="940.6"/>
    <s v="Central"/>
    <s v="Priya Herrera"/>
  </r>
  <r>
    <s v="SO-1229"/>
    <d v="2026-06-28T00:00:00"/>
    <x v="8"/>
    <n v="1"/>
    <n v="246.25"/>
    <n v="246.25"/>
    <s v="Central"/>
    <s v="Priya Herrera"/>
  </r>
  <r>
    <s v="SO-1230"/>
    <d v="2026-05-25T00:00:00"/>
    <x v="3"/>
    <n v="3"/>
    <n v="112.88"/>
    <n v="338.64"/>
    <s v="North"/>
    <s v="Priya Herrera"/>
  </r>
  <r>
    <s v="SO-1231"/>
    <d v="2026-06-14T00:00:00"/>
    <x v="4"/>
    <n v="1"/>
    <n v="231.32"/>
    <n v="231.32"/>
    <s v="North"/>
    <s v="Elena Cohen"/>
  </r>
  <r>
    <s v="SO-1232"/>
    <d v="2026-06-18T00:00:00"/>
    <x v="2"/>
    <n v="6"/>
    <n v="22.2"/>
    <n v="133.19999999999999"/>
    <s v="South"/>
    <s v="TomÃ¡s Tanaka"/>
  </r>
  <r>
    <s v="SO-1233"/>
    <d v="2026-06-20T00:00:00"/>
    <x v="10"/>
    <n v="1"/>
    <n v="183.55"/>
    <n v="183.55"/>
    <s v="West"/>
    <s v="Omar Haddad"/>
  </r>
  <r>
    <s v="SO-1234"/>
    <d v="2026-03-23T00:00:00"/>
    <x v="8"/>
    <n v="3"/>
    <n v="108.9"/>
    <n v="326.7"/>
    <s v="Central"/>
    <s v="Sofia Kowalski"/>
  </r>
  <r>
    <s v="SO-1235"/>
    <d v="2026-02-04T00:00:00"/>
    <x v="10"/>
    <n v="3"/>
    <n v="51.62"/>
    <n v="154.86000000000001"/>
    <s v="North"/>
    <s v="Elena Cohen"/>
  </r>
  <r>
    <s v="SO-1236"/>
    <d v="2026-01-07T00:00:00"/>
    <x v="8"/>
    <n v="2"/>
    <n v="115.03"/>
    <n v="230.06"/>
    <s v="West"/>
    <s v="Chen Bennett"/>
  </r>
  <r>
    <s v="SO-1237"/>
    <d v="2026-06-18T00:00:00"/>
    <x v="5"/>
    <n v="8"/>
    <n v="208.4"/>
    <n v="1667.2"/>
    <s v="North"/>
    <s v="Sofia Kowalski"/>
  </r>
  <r>
    <s v="SO-1238"/>
    <d v="2026-05-25T00:00:00"/>
    <x v="9"/>
    <n v="2"/>
    <n v="137.09"/>
    <n v="274.18"/>
    <s v="East"/>
    <s v="TomÃ¡s Tanaka"/>
  </r>
  <r>
    <s v="SO-1239"/>
    <d v="2026-05-15T00:00:00"/>
    <x v="4"/>
    <n v="6"/>
    <n v="163.43"/>
    <n v="980.58"/>
    <s v="South"/>
    <s v="Omar Haddad"/>
  </r>
  <r>
    <s v="SO-1240"/>
    <d v="2026-04-04T00:00:00"/>
    <x v="3"/>
    <n v="6"/>
    <n v="160.47"/>
    <n v="962.82"/>
    <s v="Central"/>
    <s v="Chen Bennet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09624-B712-4260-9354-779F5377D5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8">
    <pivotField showAll="0"/>
    <pivotField showAll="0">
      <items count="133">
        <item x="32"/>
        <item x="70"/>
        <item x="42"/>
        <item x="106"/>
        <item x="15"/>
        <item x="130"/>
        <item x="93"/>
        <item x="18"/>
        <item x="77"/>
        <item x="44"/>
        <item x="5"/>
        <item x="59"/>
        <item x="67"/>
        <item x="27"/>
        <item x="117"/>
        <item x="10"/>
        <item x="120"/>
        <item x="121"/>
        <item x="41"/>
        <item x="122"/>
        <item x="38"/>
        <item x="33"/>
        <item x="114"/>
        <item x="73"/>
        <item x="103"/>
        <item x="94"/>
        <item x="25"/>
        <item x="29"/>
        <item x="86"/>
        <item x="3"/>
        <item x="127"/>
        <item x="61"/>
        <item x="81"/>
        <item x="56"/>
        <item x="4"/>
        <item x="95"/>
        <item x="31"/>
        <item x="9"/>
        <item x="126"/>
        <item x="109"/>
        <item x="45"/>
        <item x="72"/>
        <item x="2"/>
        <item x="16"/>
        <item x="65"/>
        <item x="76"/>
        <item x="20"/>
        <item x="102"/>
        <item x="66"/>
        <item x="115"/>
        <item x="69"/>
        <item x="46"/>
        <item x="104"/>
        <item x="75"/>
        <item x="89"/>
        <item x="21"/>
        <item x="88"/>
        <item x="22"/>
        <item x="84"/>
        <item x="53"/>
        <item x="39"/>
        <item x="48"/>
        <item x="8"/>
        <item x="113"/>
        <item x="80"/>
        <item x="78"/>
        <item x="123"/>
        <item x="85"/>
        <item x="43"/>
        <item x="6"/>
        <item x="105"/>
        <item x="13"/>
        <item x="17"/>
        <item x="116"/>
        <item x="12"/>
        <item x="99"/>
        <item x="60"/>
        <item x="100"/>
        <item x="30"/>
        <item x="57"/>
        <item x="74"/>
        <item x="52"/>
        <item x="124"/>
        <item x="35"/>
        <item x="62"/>
        <item x="0"/>
        <item x="58"/>
        <item x="7"/>
        <item x="108"/>
        <item x="91"/>
        <item x="36"/>
        <item x="40"/>
        <item x="71"/>
        <item x="97"/>
        <item x="110"/>
        <item x="98"/>
        <item x="64"/>
        <item x="63"/>
        <item x="11"/>
        <item x="107"/>
        <item x="24"/>
        <item x="37"/>
        <item x="128"/>
        <item x="55"/>
        <item x="79"/>
        <item x="119"/>
        <item x="68"/>
        <item x="101"/>
        <item x="118"/>
        <item x="90"/>
        <item x="92"/>
        <item x="34"/>
        <item x="54"/>
        <item x="50"/>
        <item x="51"/>
        <item x="28"/>
        <item x="14"/>
        <item x="96"/>
        <item x="112"/>
        <item x="129"/>
        <item x="125"/>
        <item x="49"/>
        <item x="26"/>
        <item x="111"/>
        <item x="47"/>
        <item x="82"/>
        <item x="83"/>
        <item x="1"/>
        <item x="87"/>
        <item x="23"/>
        <item x="19"/>
        <item x="131"/>
        <item t="default"/>
      </items>
    </pivotField>
    <pivotField showAll="0"/>
    <pivotField showAll="0"/>
    <pivotField showAll="0"/>
    <pivotField dataField="1" showAll="0"/>
    <pivotField axis="axisRow" showAll="0" sortType="descending">
      <items count="7">
        <item x="3"/>
        <item x="2"/>
        <item x="0"/>
        <item x="1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Sum of total" fld="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1B74E-64A3-4E43-96A5-545280EAC54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8">
    <pivotField showAll="0"/>
    <pivotField numFmtId="14" showAll="0"/>
    <pivotField axis="axisRow" showAll="0" sortType="descending">
      <items count="13">
        <item x="11"/>
        <item x="5"/>
        <item x="4"/>
        <item x="8"/>
        <item x="10"/>
        <item x="7"/>
        <item x="0"/>
        <item x="6"/>
        <item x="2"/>
        <item x="1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13">
    <i>
      <x v="5"/>
    </i>
    <i>
      <x v="10"/>
    </i>
    <i>
      <x v="1"/>
    </i>
    <i>
      <x v="11"/>
    </i>
    <i>
      <x v="4"/>
    </i>
    <i>
      <x v="7"/>
    </i>
    <i>
      <x v="3"/>
    </i>
    <i>
      <x v="2"/>
    </i>
    <i>
      <x v="6"/>
    </i>
    <i>
      <x/>
    </i>
    <i>
      <x v="9"/>
    </i>
    <i>
      <x v="8"/>
    </i>
    <i t="grand">
      <x/>
    </i>
  </rowItems>
  <colItems count="1">
    <i/>
  </colItems>
  <dataFields count="1">
    <dataField name="Sum of total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4C3A-5C01-4070-AE84-5FA9BA10F2B4}">
  <dimension ref="A1:Q39"/>
  <sheetViews>
    <sheetView tabSelected="1" zoomScale="101" workbookViewId="0">
      <selection activeCell="A5" sqref="A5:K6"/>
    </sheetView>
  </sheetViews>
  <sheetFormatPr defaultRowHeight="14.4" x14ac:dyDescent="0.3"/>
  <cols>
    <col min="1" max="1" width="22.77734375" bestFit="1" customWidth="1"/>
    <col min="2" max="2" width="11.6640625" customWidth="1"/>
    <col min="4" max="4" width="28.6640625" customWidth="1"/>
    <col min="7" max="7" width="28.6640625" customWidth="1"/>
    <col min="10" max="10" width="36" customWidth="1"/>
  </cols>
  <sheetData>
    <row r="1" spans="1:17" ht="25.8" x14ac:dyDescent="0.5">
      <c r="A1" s="19" t="s">
        <v>284</v>
      </c>
      <c r="B1" s="19"/>
      <c r="C1" s="19"/>
      <c r="D1" s="19"/>
      <c r="E1" s="19"/>
      <c r="F1" s="19"/>
      <c r="G1" s="19"/>
      <c r="H1" s="19"/>
      <c r="I1" s="19"/>
      <c r="J1" s="19"/>
    </row>
    <row r="3" spans="1:17" x14ac:dyDescent="0.3">
      <c r="A3" s="20" t="s">
        <v>280</v>
      </c>
      <c r="B3" s="20"/>
      <c r="C3" s="20"/>
      <c r="D3" s="20" t="s">
        <v>281</v>
      </c>
      <c r="E3" s="20"/>
      <c r="F3" s="20"/>
      <c r="G3" s="20" t="s">
        <v>282</v>
      </c>
      <c r="H3" s="20"/>
      <c r="I3" s="20"/>
      <c r="J3" s="14" t="s">
        <v>283</v>
      </c>
      <c r="K3" s="17"/>
      <c r="L3" s="16"/>
      <c r="M3" s="16"/>
      <c r="N3" s="16"/>
      <c r="O3" s="16"/>
      <c r="P3" s="16"/>
      <c r="Q3" s="16"/>
    </row>
    <row r="4" spans="1:17" ht="21" x14ac:dyDescent="0.4">
      <c r="A4" s="21">
        <f>'KPI Summary'!B2</f>
        <v>142437.14000000001</v>
      </c>
      <c r="B4" s="21"/>
      <c r="C4" s="21"/>
      <c r="D4" s="18">
        <f>'KPI Summary'!B3</f>
        <v>240</v>
      </c>
      <c r="E4" s="18"/>
      <c r="F4" s="18"/>
      <c r="G4" s="18">
        <f>'KPI Summary'!B4</f>
        <v>1108</v>
      </c>
      <c r="H4" s="18"/>
      <c r="I4" s="18"/>
      <c r="J4" s="15">
        <f>'KPI Summary'!B5</f>
        <v>593.48808333333341</v>
      </c>
      <c r="K4" s="17"/>
      <c r="L4" s="16"/>
      <c r="M4" s="16"/>
      <c r="N4" s="16"/>
      <c r="O4" s="16"/>
      <c r="P4" s="16"/>
      <c r="Q4" s="16"/>
    </row>
    <row r="5" spans="1:1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3">
      <c r="A23" s="12" t="s">
        <v>285</v>
      </c>
      <c r="B23" s="13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 x14ac:dyDescent="0.3">
      <c r="A24" s="4" t="s">
        <v>286</v>
      </c>
      <c r="B24" s="8">
        <f>A4</f>
        <v>142437.14000000001</v>
      </c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3">
      <c r="A25" s="4" t="s">
        <v>287</v>
      </c>
      <c r="B25" s="10" t="str">
        <f>INDEX(Regional_Analysis!A4:A8,MATCH(MAX(Regional_Analysis!B4:B8),Regional_Analysis!B4:B8,0))</f>
        <v>Central</v>
      </c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 x14ac:dyDescent="0.3">
      <c r="A26" s="4" t="s">
        <v>288</v>
      </c>
      <c r="B26" s="9" t="str">
        <f>INDEX(Product_Analysis!A4:A15,MATCH(MAX(Product_Analysis!B4:B15),Product_Analysis!B4:B15,0))</f>
        <v>Laptop Stand</v>
      </c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3">
      <c r="A27" s="4" t="s">
        <v>289</v>
      </c>
      <c r="B27" s="11">
        <f>'KPI Summary'!B4</f>
        <v>1108</v>
      </c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x14ac:dyDescent="0.3">
      <c r="A28" s="4" t="s">
        <v>290</v>
      </c>
      <c r="B28" s="10" t="str">
        <f>INDEX(Regional_Analysis!A4:A8,MATCH(MIN(Regional_Analysis!B4:B8),Regional_Analysis!B4:B8,0))</f>
        <v>West</v>
      </c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3">
      <c r="A29" s="4" t="s">
        <v>291</v>
      </c>
      <c r="B29" s="10">
        <f>COUNTA(Product_Analysis!A4:A15)</f>
        <v>12</v>
      </c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 x14ac:dyDescent="0.3">
      <c r="A30" s="4" t="s">
        <v>292</v>
      </c>
      <c r="B30" s="10">
        <f>COUNTA(_xlfn.UNIQUE(Sample_Data!H2:H241))</f>
        <v>6</v>
      </c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</sheetData>
  <mergeCells count="13">
    <mergeCell ref="A1:J1"/>
    <mergeCell ref="A5:K6"/>
    <mergeCell ref="A3:C3"/>
    <mergeCell ref="D3:F3"/>
    <mergeCell ref="G3:I3"/>
    <mergeCell ref="A4:C4"/>
    <mergeCell ref="D4:F4"/>
    <mergeCell ref="A31:Q39"/>
    <mergeCell ref="K3:Q4"/>
    <mergeCell ref="L5:Q6"/>
    <mergeCell ref="A7:Q22"/>
    <mergeCell ref="G4:I4"/>
    <mergeCell ref="C23:Q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C195-1255-41E3-9B44-18436398A557}">
  <dimension ref="A3:B9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0.88671875" bestFit="1" customWidth="1"/>
  </cols>
  <sheetData>
    <row r="3" spans="1:2" x14ac:dyDescent="0.3">
      <c r="A3" s="2" t="s">
        <v>277</v>
      </c>
      <c r="B3" t="s">
        <v>279</v>
      </c>
    </row>
    <row r="4" spans="1:2" x14ac:dyDescent="0.3">
      <c r="A4" s="3" t="s">
        <v>23</v>
      </c>
      <c r="B4">
        <v>30787.940000000013</v>
      </c>
    </row>
    <row r="5" spans="1:2" x14ac:dyDescent="0.3">
      <c r="A5" s="3" t="s">
        <v>14</v>
      </c>
      <c r="B5">
        <v>30083.510000000002</v>
      </c>
    </row>
    <row r="6" spans="1:2" x14ac:dyDescent="0.3">
      <c r="A6" s="3" t="s">
        <v>10</v>
      </c>
      <c r="B6">
        <v>28925</v>
      </c>
    </row>
    <row r="7" spans="1:2" x14ac:dyDescent="0.3">
      <c r="A7" s="3" t="s">
        <v>20</v>
      </c>
      <c r="B7">
        <v>26485.820000000007</v>
      </c>
    </row>
    <row r="8" spans="1:2" x14ac:dyDescent="0.3">
      <c r="A8" s="3" t="s">
        <v>26</v>
      </c>
      <c r="B8">
        <v>26154.87</v>
      </c>
    </row>
    <row r="9" spans="1:2" x14ac:dyDescent="0.3">
      <c r="A9" s="3" t="s">
        <v>278</v>
      </c>
      <c r="B9">
        <v>142437.14000000001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69B7-D8AD-4C2A-823B-5E04C8AA9B76}">
  <dimension ref="A3:B16"/>
  <sheetViews>
    <sheetView workbookViewId="0">
      <selection activeCell="F29" sqref="F29"/>
    </sheetView>
  </sheetViews>
  <sheetFormatPr defaultRowHeight="14.4" x14ac:dyDescent="0.3"/>
  <cols>
    <col min="1" max="1" width="25.77734375" bestFit="1" customWidth="1"/>
    <col min="2" max="2" width="10.88671875" bestFit="1" customWidth="1"/>
  </cols>
  <sheetData>
    <row r="3" spans="1:2" x14ac:dyDescent="0.3">
      <c r="A3" s="2" t="s">
        <v>277</v>
      </c>
      <c r="B3" t="s">
        <v>279</v>
      </c>
    </row>
    <row r="4" spans="1:2" x14ac:dyDescent="0.3">
      <c r="A4" s="3" t="s">
        <v>33</v>
      </c>
      <c r="B4">
        <v>18713.899999999998</v>
      </c>
    </row>
    <row r="5" spans="1:2" x14ac:dyDescent="0.3">
      <c r="A5" s="3" t="s">
        <v>19</v>
      </c>
      <c r="B5">
        <v>16809.84</v>
      </c>
    </row>
    <row r="6" spans="1:2" x14ac:dyDescent="0.3">
      <c r="A6" s="3" t="s">
        <v>28</v>
      </c>
      <c r="B6">
        <v>16142.37</v>
      </c>
    </row>
    <row r="7" spans="1:2" x14ac:dyDescent="0.3">
      <c r="A7" s="3" t="s">
        <v>39</v>
      </c>
      <c r="B7">
        <v>14290.77</v>
      </c>
    </row>
    <row r="8" spans="1:2" x14ac:dyDescent="0.3">
      <c r="A8" s="3" t="s">
        <v>44</v>
      </c>
      <c r="B8">
        <v>12103.9</v>
      </c>
    </row>
    <row r="9" spans="1:2" x14ac:dyDescent="0.3">
      <c r="A9" s="3" t="s">
        <v>31</v>
      </c>
      <c r="B9">
        <v>10674.320000000002</v>
      </c>
    </row>
    <row r="10" spans="1:2" x14ac:dyDescent="0.3">
      <c r="A10" s="3" t="s">
        <v>35</v>
      </c>
      <c r="B10">
        <v>10624.930000000002</v>
      </c>
    </row>
    <row r="11" spans="1:2" x14ac:dyDescent="0.3">
      <c r="A11" s="3" t="s">
        <v>25</v>
      </c>
      <c r="B11">
        <v>10445.799999999999</v>
      </c>
    </row>
    <row r="12" spans="1:2" x14ac:dyDescent="0.3">
      <c r="A12" s="3" t="s">
        <v>9</v>
      </c>
      <c r="B12">
        <v>9513.33</v>
      </c>
    </row>
    <row r="13" spans="1:2" x14ac:dyDescent="0.3">
      <c r="A13" s="3" t="s">
        <v>64</v>
      </c>
      <c r="B13">
        <v>8509.33</v>
      </c>
    </row>
    <row r="14" spans="1:2" x14ac:dyDescent="0.3">
      <c r="A14" s="3" t="s">
        <v>13</v>
      </c>
      <c r="B14">
        <v>8082.1000000000013</v>
      </c>
    </row>
    <row r="15" spans="1:2" x14ac:dyDescent="0.3">
      <c r="A15" s="3" t="s">
        <v>16</v>
      </c>
      <c r="B15">
        <v>6526.5499999999993</v>
      </c>
    </row>
    <row r="16" spans="1:2" x14ac:dyDescent="0.3">
      <c r="A16" s="3" t="s">
        <v>278</v>
      </c>
      <c r="B16">
        <v>142437.14000000001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0B9C-B432-499C-9DE6-A99A83F83F55}">
  <dimension ref="A1:B5"/>
  <sheetViews>
    <sheetView workbookViewId="0">
      <selection activeCell="B5" sqref="B5"/>
    </sheetView>
  </sheetViews>
  <sheetFormatPr defaultRowHeight="14.4" x14ac:dyDescent="0.3"/>
  <cols>
    <col min="1" max="1" width="18.21875" bestFit="1" customWidth="1"/>
    <col min="2" max="2" width="9.5546875" bestFit="1" customWidth="1"/>
  </cols>
  <sheetData>
    <row r="1" spans="1:2" x14ac:dyDescent="0.3">
      <c r="A1" s="5" t="s">
        <v>271</v>
      </c>
      <c r="B1" s="5" t="s">
        <v>272</v>
      </c>
    </row>
    <row r="2" spans="1:2" x14ac:dyDescent="0.3">
      <c r="A2" s="4" t="s">
        <v>273</v>
      </c>
      <c r="B2" s="4">
        <f>SUM(Sample_Data!F2:F241)</f>
        <v>142437.14000000001</v>
      </c>
    </row>
    <row r="3" spans="1:2" x14ac:dyDescent="0.3">
      <c r="A3" s="4" t="s">
        <v>274</v>
      </c>
      <c r="B3" s="4">
        <f>COUNTA(Sample_Data!A2:A241)</f>
        <v>240</v>
      </c>
    </row>
    <row r="4" spans="1:2" x14ac:dyDescent="0.3">
      <c r="A4" s="4" t="s">
        <v>275</v>
      </c>
      <c r="B4" s="4">
        <f>SUM(Sample_Data!D2:D241)</f>
        <v>1108</v>
      </c>
    </row>
    <row r="5" spans="1:2" x14ac:dyDescent="0.3">
      <c r="A5" s="4" t="s">
        <v>276</v>
      </c>
      <c r="B5" s="7">
        <f>IFERROR(B2/B3,0)</f>
        <v>593.48808333333341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891F-962C-45F9-8B4A-2B324D571D08}">
  <dimension ref="A1:H241"/>
  <sheetViews>
    <sheetView zoomScale="113" workbookViewId="0">
      <selection activeCell="K24" sqref="K24"/>
    </sheetView>
  </sheetViews>
  <sheetFormatPr defaultRowHeight="14.4" x14ac:dyDescent="0.3"/>
  <cols>
    <col min="1" max="1" width="8.44140625" bestFit="1" customWidth="1"/>
    <col min="2" max="2" width="11" bestFit="1" customWidth="1"/>
    <col min="3" max="3" width="26.5546875" bestFit="1" customWidth="1"/>
    <col min="4" max="4" width="7.88671875" bestFit="1" customWidth="1"/>
    <col min="5" max="5" width="9.21875" bestFit="1" customWidth="1"/>
    <col min="6" max="6" width="8.5546875" bestFit="1" customWidth="1"/>
    <col min="7" max="7" width="7.21875" bestFit="1" customWidth="1"/>
    <col min="8" max="8" width="13.5546875" bestFit="1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t="s">
        <v>8</v>
      </c>
      <c r="B2" s="1">
        <v>46146</v>
      </c>
      <c r="C2" t="s">
        <v>9</v>
      </c>
      <c r="D2">
        <v>6</v>
      </c>
      <c r="E2">
        <v>112.7</v>
      </c>
      <c r="F2">
        <v>676.2</v>
      </c>
      <c r="G2" t="s">
        <v>10</v>
      </c>
      <c r="H2" t="s">
        <v>11</v>
      </c>
    </row>
    <row r="3" spans="1:8" x14ac:dyDescent="0.3">
      <c r="A3" t="s">
        <v>12</v>
      </c>
      <c r="B3" s="1">
        <v>46199</v>
      </c>
      <c r="C3" t="s">
        <v>13</v>
      </c>
      <c r="D3">
        <v>6</v>
      </c>
      <c r="E3">
        <v>35.78</v>
      </c>
      <c r="F3">
        <v>214.68</v>
      </c>
      <c r="G3" t="s">
        <v>14</v>
      </c>
      <c r="H3" t="s">
        <v>11</v>
      </c>
    </row>
    <row r="4" spans="1:8" x14ac:dyDescent="0.3">
      <c r="A4" t="s">
        <v>15</v>
      </c>
      <c r="B4" s="1">
        <v>46089</v>
      </c>
      <c r="C4" t="s">
        <v>16</v>
      </c>
      <c r="D4">
        <v>1</v>
      </c>
      <c r="E4">
        <v>111.15</v>
      </c>
      <c r="F4">
        <v>111.15</v>
      </c>
      <c r="G4" t="s">
        <v>14</v>
      </c>
      <c r="H4" t="s">
        <v>17</v>
      </c>
    </row>
    <row r="5" spans="1:8" x14ac:dyDescent="0.3">
      <c r="A5" t="s">
        <v>18</v>
      </c>
      <c r="B5" s="1">
        <v>46067</v>
      </c>
      <c r="C5" t="s">
        <v>19</v>
      </c>
      <c r="D5">
        <v>1</v>
      </c>
      <c r="E5">
        <v>112.67</v>
      </c>
      <c r="F5">
        <v>112.67</v>
      </c>
      <c r="G5" t="s">
        <v>20</v>
      </c>
      <c r="H5" t="s">
        <v>21</v>
      </c>
    </row>
    <row r="6" spans="1:8" x14ac:dyDescent="0.3">
      <c r="A6" t="s">
        <v>22</v>
      </c>
      <c r="B6" s="1">
        <v>46075</v>
      </c>
      <c r="C6" t="s">
        <v>19</v>
      </c>
      <c r="D6">
        <v>1</v>
      </c>
      <c r="E6">
        <v>54.09</v>
      </c>
      <c r="F6">
        <v>54.09</v>
      </c>
      <c r="G6" t="s">
        <v>23</v>
      </c>
      <c r="H6" t="s">
        <v>11</v>
      </c>
    </row>
    <row r="7" spans="1:8" x14ac:dyDescent="0.3">
      <c r="A7" t="s">
        <v>24</v>
      </c>
      <c r="B7" s="1">
        <v>46040</v>
      </c>
      <c r="C7" t="s">
        <v>25</v>
      </c>
      <c r="D7">
        <v>4</v>
      </c>
      <c r="E7">
        <v>215.54</v>
      </c>
      <c r="F7">
        <v>862.16</v>
      </c>
      <c r="G7" t="s">
        <v>26</v>
      </c>
      <c r="H7" t="s">
        <v>21</v>
      </c>
    </row>
    <row r="8" spans="1:8" x14ac:dyDescent="0.3">
      <c r="A8" t="s">
        <v>27</v>
      </c>
      <c r="B8" s="1">
        <v>46125</v>
      </c>
      <c r="C8" t="s">
        <v>28</v>
      </c>
      <c r="D8">
        <v>3</v>
      </c>
      <c r="E8">
        <v>17.52</v>
      </c>
      <c r="F8">
        <v>52.56</v>
      </c>
      <c r="G8" t="s">
        <v>20</v>
      </c>
      <c r="H8" t="s">
        <v>29</v>
      </c>
    </row>
    <row r="9" spans="1:8" x14ac:dyDescent="0.3">
      <c r="A9" t="s">
        <v>30</v>
      </c>
      <c r="B9" s="1">
        <v>46148</v>
      </c>
      <c r="C9" t="s">
        <v>31</v>
      </c>
      <c r="D9">
        <v>6</v>
      </c>
      <c r="E9">
        <v>181.65</v>
      </c>
      <c r="F9">
        <v>1089.9000000000001</v>
      </c>
      <c r="G9" t="s">
        <v>26</v>
      </c>
      <c r="H9" t="s">
        <v>21</v>
      </c>
    </row>
    <row r="10" spans="1:8" x14ac:dyDescent="0.3">
      <c r="A10" t="s">
        <v>32</v>
      </c>
      <c r="B10" s="1">
        <v>46116</v>
      </c>
      <c r="C10" t="s">
        <v>33</v>
      </c>
      <c r="D10">
        <v>8</v>
      </c>
      <c r="E10">
        <v>28.72</v>
      </c>
      <c r="F10">
        <v>229.76</v>
      </c>
      <c r="G10" t="s">
        <v>20</v>
      </c>
      <c r="H10" t="s">
        <v>11</v>
      </c>
    </row>
    <row r="11" spans="1:8" x14ac:dyDescent="0.3">
      <c r="A11" t="s">
        <v>34</v>
      </c>
      <c r="B11" s="1">
        <v>46082</v>
      </c>
      <c r="C11" t="s">
        <v>35</v>
      </c>
      <c r="D11">
        <v>7</v>
      </c>
      <c r="E11">
        <v>143.97</v>
      </c>
      <c r="F11">
        <v>1007.79</v>
      </c>
      <c r="G11" t="s">
        <v>20</v>
      </c>
      <c r="H11" t="s">
        <v>36</v>
      </c>
    </row>
    <row r="12" spans="1:8" x14ac:dyDescent="0.3">
      <c r="A12" t="s">
        <v>37</v>
      </c>
      <c r="B12" s="1">
        <v>46049</v>
      </c>
      <c r="C12" t="s">
        <v>28</v>
      </c>
      <c r="D12">
        <v>7</v>
      </c>
      <c r="E12">
        <v>147.79</v>
      </c>
      <c r="F12">
        <v>1034.53</v>
      </c>
      <c r="G12" t="s">
        <v>10</v>
      </c>
      <c r="H12" t="s">
        <v>36</v>
      </c>
    </row>
    <row r="13" spans="1:8" x14ac:dyDescent="0.3">
      <c r="A13" t="s">
        <v>38</v>
      </c>
      <c r="B13" s="1">
        <v>46161</v>
      </c>
      <c r="C13" t="s">
        <v>39</v>
      </c>
      <c r="D13">
        <v>5</v>
      </c>
      <c r="E13">
        <v>206.67</v>
      </c>
      <c r="F13">
        <v>1033.3499999999999</v>
      </c>
      <c r="G13" t="s">
        <v>10</v>
      </c>
      <c r="H13" t="s">
        <v>40</v>
      </c>
    </row>
    <row r="14" spans="1:8" x14ac:dyDescent="0.3">
      <c r="A14" t="s">
        <v>41</v>
      </c>
      <c r="B14" s="1">
        <v>46131</v>
      </c>
      <c r="C14" t="s">
        <v>13</v>
      </c>
      <c r="D14">
        <v>6</v>
      </c>
      <c r="E14">
        <v>119.74</v>
      </c>
      <c r="F14">
        <v>718.44</v>
      </c>
      <c r="G14" t="s">
        <v>14</v>
      </c>
      <c r="H14" t="s">
        <v>29</v>
      </c>
    </row>
    <row r="15" spans="1:8" x14ac:dyDescent="0.3">
      <c r="A15" t="s">
        <v>42</v>
      </c>
      <c r="B15" s="1">
        <v>46128</v>
      </c>
      <c r="C15" t="s">
        <v>9</v>
      </c>
      <c r="D15">
        <v>2</v>
      </c>
      <c r="E15">
        <v>179.18</v>
      </c>
      <c r="F15">
        <v>358.36</v>
      </c>
      <c r="G15" t="s">
        <v>10</v>
      </c>
      <c r="H15" t="s">
        <v>29</v>
      </c>
    </row>
    <row r="16" spans="1:8" x14ac:dyDescent="0.3">
      <c r="A16" t="s">
        <v>43</v>
      </c>
      <c r="B16" s="1">
        <v>46187</v>
      </c>
      <c r="C16" t="s">
        <v>44</v>
      </c>
      <c r="D16">
        <v>8</v>
      </c>
      <c r="E16">
        <v>149.41</v>
      </c>
      <c r="F16">
        <v>1195.28</v>
      </c>
      <c r="G16" t="s">
        <v>20</v>
      </c>
      <c r="H16" t="s">
        <v>40</v>
      </c>
    </row>
    <row r="17" spans="1:8" x14ac:dyDescent="0.3">
      <c r="A17" t="s">
        <v>45</v>
      </c>
      <c r="B17" s="1">
        <v>46028</v>
      </c>
      <c r="C17" t="s">
        <v>35</v>
      </c>
      <c r="D17">
        <v>1</v>
      </c>
      <c r="E17">
        <v>223.56</v>
      </c>
      <c r="F17">
        <v>223.56</v>
      </c>
      <c r="G17" t="s">
        <v>23</v>
      </c>
      <c r="H17" t="s">
        <v>17</v>
      </c>
    </row>
    <row r="18" spans="1:8" x14ac:dyDescent="0.3">
      <c r="A18" t="s">
        <v>46</v>
      </c>
      <c r="B18" s="1">
        <v>46092</v>
      </c>
      <c r="C18" t="s">
        <v>25</v>
      </c>
      <c r="D18">
        <v>7</v>
      </c>
      <c r="E18">
        <v>59.12</v>
      </c>
      <c r="F18">
        <v>413.84</v>
      </c>
      <c r="G18" t="s">
        <v>10</v>
      </c>
      <c r="H18" t="s">
        <v>40</v>
      </c>
    </row>
    <row r="19" spans="1:8" x14ac:dyDescent="0.3">
      <c r="A19" t="s">
        <v>47</v>
      </c>
      <c r="B19" s="1">
        <v>46129</v>
      </c>
      <c r="C19" t="s">
        <v>9</v>
      </c>
      <c r="D19">
        <v>7</v>
      </c>
      <c r="E19">
        <v>90.62</v>
      </c>
      <c r="F19">
        <v>634.34</v>
      </c>
      <c r="G19" t="s">
        <v>20</v>
      </c>
      <c r="H19" t="s">
        <v>36</v>
      </c>
    </row>
    <row r="20" spans="1:8" x14ac:dyDescent="0.3">
      <c r="A20" t="s">
        <v>48</v>
      </c>
      <c r="B20" s="1">
        <v>46032</v>
      </c>
      <c r="C20" t="s">
        <v>19</v>
      </c>
      <c r="D20">
        <v>2</v>
      </c>
      <c r="E20">
        <v>197.09</v>
      </c>
      <c r="F20">
        <v>394.18</v>
      </c>
      <c r="G20" t="s">
        <v>20</v>
      </c>
      <c r="H20" t="s">
        <v>11</v>
      </c>
    </row>
    <row r="21" spans="1:8" x14ac:dyDescent="0.3">
      <c r="A21" t="s">
        <v>49</v>
      </c>
      <c r="B21" s="1">
        <v>46202</v>
      </c>
      <c r="C21" t="s">
        <v>33</v>
      </c>
      <c r="D21">
        <v>4</v>
      </c>
      <c r="E21">
        <v>167.13</v>
      </c>
      <c r="F21">
        <v>668.52</v>
      </c>
      <c r="G21" t="s">
        <v>20</v>
      </c>
      <c r="H21" t="s">
        <v>36</v>
      </c>
    </row>
    <row r="22" spans="1:8" x14ac:dyDescent="0.3">
      <c r="A22" t="s">
        <v>50</v>
      </c>
      <c r="B22" s="1">
        <v>46128</v>
      </c>
      <c r="C22" t="s">
        <v>39</v>
      </c>
      <c r="D22">
        <v>3</v>
      </c>
      <c r="E22">
        <v>63.19</v>
      </c>
      <c r="F22">
        <v>189.57</v>
      </c>
      <c r="G22" t="s">
        <v>14</v>
      </c>
      <c r="H22" t="s">
        <v>11</v>
      </c>
    </row>
    <row r="23" spans="1:8" x14ac:dyDescent="0.3">
      <c r="A23" t="s">
        <v>51</v>
      </c>
      <c r="B23" s="1">
        <v>46098</v>
      </c>
      <c r="C23" t="s">
        <v>44</v>
      </c>
      <c r="D23">
        <v>3</v>
      </c>
      <c r="E23">
        <v>36.67</v>
      </c>
      <c r="F23">
        <v>110.01</v>
      </c>
      <c r="G23" t="s">
        <v>20</v>
      </c>
      <c r="H23" t="s">
        <v>29</v>
      </c>
    </row>
    <row r="24" spans="1:8" x14ac:dyDescent="0.3">
      <c r="A24" t="s">
        <v>52</v>
      </c>
      <c r="B24" s="1">
        <v>46107</v>
      </c>
      <c r="C24" t="s">
        <v>13</v>
      </c>
      <c r="D24">
        <v>2</v>
      </c>
      <c r="E24">
        <v>179.02</v>
      </c>
      <c r="F24">
        <v>358.04</v>
      </c>
      <c r="G24" t="s">
        <v>23</v>
      </c>
      <c r="H24" t="s">
        <v>21</v>
      </c>
    </row>
    <row r="25" spans="1:8" x14ac:dyDescent="0.3">
      <c r="A25" t="s">
        <v>53</v>
      </c>
      <c r="B25" s="1">
        <v>46111</v>
      </c>
      <c r="C25" t="s">
        <v>25</v>
      </c>
      <c r="D25">
        <v>1</v>
      </c>
      <c r="E25">
        <v>54.88</v>
      </c>
      <c r="F25">
        <v>54.88</v>
      </c>
      <c r="G25" t="s">
        <v>23</v>
      </c>
      <c r="H25" t="s">
        <v>17</v>
      </c>
    </row>
    <row r="26" spans="1:8" x14ac:dyDescent="0.3">
      <c r="A26" t="s">
        <v>54</v>
      </c>
      <c r="B26" s="1">
        <v>46201</v>
      </c>
      <c r="C26" t="s">
        <v>33</v>
      </c>
      <c r="D26">
        <v>4</v>
      </c>
      <c r="E26">
        <v>161.26</v>
      </c>
      <c r="F26">
        <v>645.04</v>
      </c>
      <c r="G26" t="s">
        <v>20</v>
      </c>
      <c r="H26" t="s">
        <v>17</v>
      </c>
    </row>
    <row r="27" spans="1:8" x14ac:dyDescent="0.3">
      <c r="A27" t="s">
        <v>55</v>
      </c>
      <c r="B27" s="1">
        <v>46163</v>
      </c>
      <c r="C27" t="s">
        <v>33</v>
      </c>
      <c r="D27">
        <v>5</v>
      </c>
      <c r="E27">
        <v>214.71</v>
      </c>
      <c r="F27">
        <v>1073.55</v>
      </c>
      <c r="G27" t="s">
        <v>26</v>
      </c>
      <c r="H27" t="s">
        <v>11</v>
      </c>
    </row>
    <row r="28" spans="1:8" x14ac:dyDescent="0.3">
      <c r="A28" t="s">
        <v>56</v>
      </c>
      <c r="B28" s="1">
        <v>46064</v>
      </c>
      <c r="C28" t="s">
        <v>39</v>
      </c>
      <c r="D28">
        <v>5</v>
      </c>
      <c r="E28">
        <v>12.96</v>
      </c>
      <c r="F28">
        <v>64.8</v>
      </c>
      <c r="G28" t="s">
        <v>23</v>
      </c>
      <c r="H28" t="s">
        <v>11</v>
      </c>
    </row>
    <row r="29" spans="1:8" x14ac:dyDescent="0.3">
      <c r="A29" t="s">
        <v>57</v>
      </c>
      <c r="B29" s="1">
        <v>46040</v>
      </c>
      <c r="C29" t="s">
        <v>28</v>
      </c>
      <c r="D29">
        <v>5</v>
      </c>
      <c r="E29">
        <v>68.38</v>
      </c>
      <c r="F29">
        <v>341.9</v>
      </c>
      <c r="G29" t="s">
        <v>23</v>
      </c>
      <c r="H29" t="s">
        <v>36</v>
      </c>
    </row>
    <row r="30" spans="1:8" x14ac:dyDescent="0.3">
      <c r="A30" t="s">
        <v>58</v>
      </c>
      <c r="B30" s="1">
        <v>46194</v>
      </c>
      <c r="C30" t="s">
        <v>9</v>
      </c>
      <c r="D30">
        <v>4</v>
      </c>
      <c r="E30">
        <v>30.61</v>
      </c>
      <c r="F30">
        <v>122.44</v>
      </c>
      <c r="G30" t="s">
        <v>23</v>
      </c>
      <c r="H30" t="s">
        <v>17</v>
      </c>
    </row>
    <row r="31" spans="1:8" x14ac:dyDescent="0.3">
      <c r="A31" t="s">
        <v>59</v>
      </c>
      <c r="B31" s="1">
        <v>46046</v>
      </c>
      <c r="C31" t="s">
        <v>9</v>
      </c>
      <c r="D31">
        <v>8</v>
      </c>
      <c r="E31">
        <v>103.99</v>
      </c>
      <c r="F31">
        <v>831.92</v>
      </c>
      <c r="G31" t="s">
        <v>23</v>
      </c>
      <c r="H31" t="s">
        <v>36</v>
      </c>
    </row>
    <row r="32" spans="1:8" x14ac:dyDescent="0.3">
      <c r="A32" t="s">
        <v>60</v>
      </c>
      <c r="B32" s="1">
        <v>46067</v>
      </c>
      <c r="C32" t="s">
        <v>25</v>
      </c>
      <c r="D32">
        <v>1</v>
      </c>
      <c r="E32">
        <v>217.69</v>
      </c>
      <c r="F32">
        <v>217.69</v>
      </c>
      <c r="G32" t="s">
        <v>23</v>
      </c>
      <c r="H32" t="s">
        <v>17</v>
      </c>
    </row>
    <row r="33" spans="1:8" x14ac:dyDescent="0.3">
      <c r="A33" t="s">
        <v>61</v>
      </c>
      <c r="B33" s="1">
        <v>46186</v>
      </c>
      <c r="C33" t="s">
        <v>39</v>
      </c>
      <c r="D33">
        <v>4</v>
      </c>
      <c r="E33">
        <v>248.32</v>
      </c>
      <c r="F33">
        <v>993.28</v>
      </c>
      <c r="G33" t="s">
        <v>10</v>
      </c>
      <c r="H33" t="s">
        <v>40</v>
      </c>
    </row>
    <row r="34" spans="1:8" x14ac:dyDescent="0.3">
      <c r="A34" t="s">
        <v>62</v>
      </c>
      <c r="B34" s="1">
        <v>46065</v>
      </c>
      <c r="C34" t="s">
        <v>33</v>
      </c>
      <c r="D34">
        <v>7</v>
      </c>
      <c r="E34">
        <v>197.63</v>
      </c>
      <c r="F34">
        <v>1383.41</v>
      </c>
      <c r="G34" t="s">
        <v>26</v>
      </c>
      <c r="H34" t="s">
        <v>21</v>
      </c>
    </row>
    <row r="35" spans="1:8" x14ac:dyDescent="0.3">
      <c r="A35" t="s">
        <v>63</v>
      </c>
      <c r="B35" s="1">
        <v>46135</v>
      </c>
      <c r="C35" t="s">
        <v>64</v>
      </c>
      <c r="D35">
        <v>1</v>
      </c>
      <c r="E35">
        <v>153.5</v>
      </c>
      <c r="F35">
        <v>153.5</v>
      </c>
      <c r="G35" t="s">
        <v>20</v>
      </c>
      <c r="H35" t="s">
        <v>11</v>
      </c>
    </row>
    <row r="36" spans="1:8" x14ac:dyDescent="0.3">
      <c r="A36" t="s">
        <v>65</v>
      </c>
      <c r="B36" s="1">
        <v>46201</v>
      </c>
      <c r="C36" t="s">
        <v>19</v>
      </c>
      <c r="D36">
        <v>4</v>
      </c>
      <c r="E36">
        <v>202.9</v>
      </c>
      <c r="F36">
        <v>811.6</v>
      </c>
      <c r="G36" t="s">
        <v>14</v>
      </c>
      <c r="H36" t="s">
        <v>21</v>
      </c>
    </row>
    <row r="37" spans="1:8" x14ac:dyDescent="0.3">
      <c r="A37" t="s">
        <v>66</v>
      </c>
      <c r="B37" s="1">
        <v>46079</v>
      </c>
      <c r="C37" t="s">
        <v>39</v>
      </c>
      <c r="D37">
        <v>5</v>
      </c>
      <c r="E37">
        <v>135.96</v>
      </c>
      <c r="F37">
        <v>679.8</v>
      </c>
      <c r="G37" t="s">
        <v>23</v>
      </c>
      <c r="H37" t="s">
        <v>40</v>
      </c>
    </row>
    <row r="38" spans="1:8" x14ac:dyDescent="0.3">
      <c r="A38" t="s">
        <v>67</v>
      </c>
      <c r="B38" s="1">
        <v>46024</v>
      </c>
      <c r="C38" t="s">
        <v>28</v>
      </c>
      <c r="D38">
        <v>6</v>
      </c>
      <c r="E38">
        <v>74.489999999999995</v>
      </c>
      <c r="F38">
        <v>446.94</v>
      </c>
      <c r="G38" t="s">
        <v>20</v>
      </c>
      <c r="H38" t="s">
        <v>40</v>
      </c>
    </row>
    <row r="39" spans="1:8" x14ac:dyDescent="0.3">
      <c r="A39" t="s">
        <v>68</v>
      </c>
      <c r="B39" s="1">
        <v>46055</v>
      </c>
      <c r="C39" t="s">
        <v>39</v>
      </c>
      <c r="D39">
        <v>4</v>
      </c>
      <c r="E39">
        <v>115.64</v>
      </c>
      <c r="F39">
        <v>462.56</v>
      </c>
      <c r="G39" t="s">
        <v>20</v>
      </c>
      <c r="H39" t="s">
        <v>17</v>
      </c>
    </row>
    <row r="40" spans="1:8" x14ac:dyDescent="0.3">
      <c r="A40" t="s">
        <v>69</v>
      </c>
      <c r="B40" s="1">
        <v>46182</v>
      </c>
      <c r="C40" t="s">
        <v>33</v>
      </c>
      <c r="D40">
        <v>5</v>
      </c>
      <c r="E40">
        <v>245.5</v>
      </c>
      <c r="F40">
        <v>1227.5</v>
      </c>
      <c r="G40" t="s">
        <v>23</v>
      </c>
      <c r="H40" t="s">
        <v>17</v>
      </c>
    </row>
    <row r="41" spans="1:8" x14ac:dyDescent="0.3">
      <c r="A41" t="s">
        <v>70</v>
      </c>
      <c r="B41" s="1">
        <v>46142</v>
      </c>
      <c r="C41" t="s">
        <v>33</v>
      </c>
      <c r="D41">
        <v>5</v>
      </c>
      <c r="E41">
        <v>161.72</v>
      </c>
      <c r="F41">
        <v>808.6</v>
      </c>
      <c r="G41" t="s">
        <v>23</v>
      </c>
      <c r="H41" t="s">
        <v>36</v>
      </c>
    </row>
    <row r="42" spans="1:8" x14ac:dyDescent="0.3">
      <c r="A42" t="s">
        <v>71</v>
      </c>
      <c r="B42" s="1">
        <v>46079</v>
      </c>
      <c r="C42" t="s">
        <v>31</v>
      </c>
      <c r="D42">
        <v>1</v>
      </c>
      <c r="E42">
        <v>213.38</v>
      </c>
      <c r="F42">
        <v>213.38</v>
      </c>
      <c r="G42" t="s">
        <v>20</v>
      </c>
      <c r="H42" t="s">
        <v>11</v>
      </c>
    </row>
    <row r="43" spans="1:8" x14ac:dyDescent="0.3">
      <c r="A43" t="s">
        <v>72</v>
      </c>
      <c r="B43" s="1">
        <v>46151</v>
      </c>
      <c r="C43" t="s">
        <v>28</v>
      </c>
      <c r="D43">
        <v>3</v>
      </c>
      <c r="E43">
        <v>221.01</v>
      </c>
      <c r="F43">
        <v>663.03</v>
      </c>
      <c r="G43" t="s">
        <v>23</v>
      </c>
      <c r="H43" t="s">
        <v>17</v>
      </c>
    </row>
    <row r="44" spans="1:8" x14ac:dyDescent="0.3">
      <c r="A44" t="s">
        <v>73</v>
      </c>
      <c r="B44" s="1">
        <v>46165</v>
      </c>
      <c r="C44" t="s">
        <v>19</v>
      </c>
      <c r="D44">
        <v>4</v>
      </c>
      <c r="E44">
        <v>158.94999999999999</v>
      </c>
      <c r="F44">
        <v>635.79999999999995</v>
      </c>
      <c r="G44" t="s">
        <v>10</v>
      </c>
      <c r="H44" t="s">
        <v>17</v>
      </c>
    </row>
    <row r="45" spans="1:8" x14ac:dyDescent="0.3">
      <c r="A45" t="s">
        <v>74</v>
      </c>
      <c r="B45" s="1">
        <v>46054</v>
      </c>
      <c r="C45" t="s">
        <v>28</v>
      </c>
      <c r="D45">
        <v>5</v>
      </c>
      <c r="E45">
        <v>37.47</v>
      </c>
      <c r="F45">
        <v>187.35</v>
      </c>
      <c r="G45" t="s">
        <v>26</v>
      </c>
      <c r="H45" t="s">
        <v>21</v>
      </c>
    </row>
    <row r="46" spans="1:8" x14ac:dyDescent="0.3">
      <c r="A46" t="s">
        <v>75</v>
      </c>
      <c r="B46" s="1">
        <v>46114</v>
      </c>
      <c r="C46" t="s">
        <v>39</v>
      </c>
      <c r="D46">
        <v>7</v>
      </c>
      <c r="E46">
        <v>124.94</v>
      </c>
      <c r="F46">
        <v>874.58</v>
      </c>
      <c r="G46" t="s">
        <v>14</v>
      </c>
      <c r="H46" t="s">
        <v>11</v>
      </c>
    </row>
    <row r="47" spans="1:8" x14ac:dyDescent="0.3">
      <c r="A47" t="s">
        <v>76</v>
      </c>
      <c r="B47" s="1">
        <v>46153</v>
      </c>
      <c r="C47" t="s">
        <v>16</v>
      </c>
      <c r="D47">
        <v>1</v>
      </c>
      <c r="E47">
        <v>80.58</v>
      </c>
      <c r="F47">
        <v>80.58</v>
      </c>
      <c r="G47" t="s">
        <v>26</v>
      </c>
      <c r="H47" t="s">
        <v>40</v>
      </c>
    </row>
    <row r="48" spans="1:8" x14ac:dyDescent="0.3">
      <c r="A48" t="s">
        <v>77</v>
      </c>
      <c r="B48" s="1">
        <v>46052</v>
      </c>
      <c r="C48" t="s">
        <v>44</v>
      </c>
      <c r="D48">
        <v>7</v>
      </c>
      <c r="E48">
        <v>143.93</v>
      </c>
      <c r="F48">
        <v>1007.51</v>
      </c>
      <c r="G48" t="s">
        <v>20</v>
      </c>
      <c r="H48" t="s">
        <v>11</v>
      </c>
    </row>
    <row r="49" spans="1:8" x14ac:dyDescent="0.3">
      <c r="A49" t="s">
        <v>78</v>
      </c>
      <c r="B49" s="1">
        <v>46026</v>
      </c>
      <c r="C49" t="s">
        <v>35</v>
      </c>
      <c r="D49">
        <v>1</v>
      </c>
      <c r="E49">
        <v>151.12</v>
      </c>
      <c r="F49">
        <v>151.12</v>
      </c>
      <c r="G49" t="s">
        <v>26</v>
      </c>
      <c r="H49" t="s">
        <v>29</v>
      </c>
    </row>
    <row r="50" spans="1:8" x14ac:dyDescent="0.3">
      <c r="A50" t="s">
        <v>79</v>
      </c>
      <c r="B50" s="1">
        <v>46124</v>
      </c>
      <c r="C50" t="s">
        <v>28</v>
      </c>
      <c r="D50">
        <v>4</v>
      </c>
      <c r="E50">
        <v>84.27</v>
      </c>
      <c r="F50">
        <v>337.08</v>
      </c>
      <c r="G50" t="s">
        <v>14</v>
      </c>
      <c r="H50" t="s">
        <v>21</v>
      </c>
    </row>
    <row r="51" spans="1:8" x14ac:dyDescent="0.3">
      <c r="A51" t="s">
        <v>80</v>
      </c>
      <c r="B51" s="1">
        <v>46049</v>
      </c>
      <c r="C51" t="s">
        <v>39</v>
      </c>
      <c r="D51">
        <v>1</v>
      </c>
      <c r="E51">
        <v>96.96</v>
      </c>
      <c r="F51">
        <v>96.96</v>
      </c>
      <c r="G51" t="s">
        <v>10</v>
      </c>
      <c r="H51" t="s">
        <v>11</v>
      </c>
    </row>
    <row r="52" spans="1:8" x14ac:dyDescent="0.3">
      <c r="A52" t="s">
        <v>81</v>
      </c>
      <c r="B52" s="1">
        <v>46038</v>
      </c>
      <c r="C52" t="s">
        <v>35</v>
      </c>
      <c r="D52">
        <v>7</v>
      </c>
      <c r="E52">
        <v>155.38999999999999</v>
      </c>
      <c r="F52">
        <v>1087.73</v>
      </c>
      <c r="G52" t="s">
        <v>23</v>
      </c>
      <c r="H52" t="s">
        <v>21</v>
      </c>
    </row>
    <row r="53" spans="1:8" x14ac:dyDescent="0.3">
      <c r="A53" t="s">
        <v>82</v>
      </c>
      <c r="B53" s="1">
        <v>46085</v>
      </c>
      <c r="C53" t="s">
        <v>9</v>
      </c>
      <c r="D53">
        <v>3</v>
      </c>
      <c r="E53">
        <v>125.54</v>
      </c>
      <c r="F53">
        <v>376.62</v>
      </c>
      <c r="G53" t="s">
        <v>20</v>
      </c>
      <c r="H53" t="s">
        <v>11</v>
      </c>
    </row>
    <row r="54" spans="1:8" x14ac:dyDescent="0.3">
      <c r="A54" t="s">
        <v>83</v>
      </c>
      <c r="B54" s="1">
        <v>46103</v>
      </c>
      <c r="C54" t="s">
        <v>35</v>
      </c>
      <c r="D54">
        <v>5</v>
      </c>
      <c r="E54">
        <v>70.790000000000006</v>
      </c>
      <c r="F54">
        <v>353.95</v>
      </c>
      <c r="G54" t="s">
        <v>20</v>
      </c>
      <c r="H54" t="s">
        <v>29</v>
      </c>
    </row>
    <row r="55" spans="1:8" x14ac:dyDescent="0.3">
      <c r="A55" t="s">
        <v>84</v>
      </c>
      <c r="B55" s="1">
        <v>46151</v>
      </c>
      <c r="C55" t="s">
        <v>31</v>
      </c>
      <c r="D55">
        <v>6</v>
      </c>
      <c r="E55">
        <v>204.83</v>
      </c>
      <c r="F55">
        <v>1228.98</v>
      </c>
      <c r="G55" t="s">
        <v>23</v>
      </c>
      <c r="H55" t="s">
        <v>11</v>
      </c>
    </row>
    <row r="56" spans="1:8" x14ac:dyDescent="0.3">
      <c r="A56" t="s">
        <v>85</v>
      </c>
      <c r="B56" s="1">
        <v>46196</v>
      </c>
      <c r="C56" t="s">
        <v>44</v>
      </c>
      <c r="D56">
        <v>8</v>
      </c>
      <c r="E56">
        <v>190.17</v>
      </c>
      <c r="F56">
        <v>1521.36</v>
      </c>
      <c r="G56" t="s">
        <v>14</v>
      </c>
      <c r="H56" t="s">
        <v>11</v>
      </c>
    </row>
    <row r="57" spans="1:8" x14ac:dyDescent="0.3">
      <c r="A57" t="s">
        <v>86</v>
      </c>
      <c r="B57" s="1">
        <v>46182</v>
      </c>
      <c r="C57" t="s">
        <v>64</v>
      </c>
      <c r="D57">
        <v>7</v>
      </c>
      <c r="E57">
        <v>239.78</v>
      </c>
      <c r="F57">
        <v>1678.46</v>
      </c>
      <c r="G57" t="s">
        <v>23</v>
      </c>
      <c r="H57" t="s">
        <v>11</v>
      </c>
    </row>
    <row r="58" spans="1:8" x14ac:dyDescent="0.3">
      <c r="A58" t="s">
        <v>87</v>
      </c>
      <c r="B58" s="1">
        <v>46115</v>
      </c>
      <c r="C58" t="s">
        <v>39</v>
      </c>
      <c r="D58">
        <v>8</v>
      </c>
      <c r="E58">
        <v>14</v>
      </c>
      <c r="F58">
        <v>112</v>
      </c>
      <c r="G58" t="s">
        <v>26</v>
      </c>
      <c r="H58" t="s">
        <v>40</v>
      </c>
    </row>
    <row r="59" spans="1:8" x14ac:dyDescent="0.3">
      <c r="A59" t="s">
        <v>88</v>
      </c>
      <c r="B59" s="1">
        <v>46193</v>
      </c>
      <c r="C59" t="s">
        <v>39</v>
      </c>
      <c r="D59">
        <v>2</v>
      </c>
      <c r="E59">
        <v>191.22</v>
      </c>
      <c r="F59">
        <v>382.44</v>
      </c>
      <c r="G59" t="s">
        <v>23</v>
      </c>
      <c r="H59" t="s">
        <v>29</v>
      </c>
    </row>
    <row r="60" spans="1:8" x14ac:dyDescent="0.3">
      <c r="A60" t="s">
        <v>89</v>
      </c>
      <c r="B60" s="1">
        <v>46184</v>
      </c>
      <c r="C60" t="s">
        <v>19</v>
      </c>
      <c r="D60">
        <v>2</v>
      </c>
      <c r="E60">
        <v>183.47</v>
      </c>
      <c r="F60">
        <v>366.94</v>
      </c>
      <c r="G60" t="s">
        <v>26</v>
      </c>
      <c r="H60" t="s">
        <v>29</v>
      </c>
    </row>
    <row r="61" spans="1:8" x14ac:dyDescent="0.3">
      <c r="A61" t="s">
        <v>90</v>
      </c>
      <c r="B61" s="1">
        <v>46185</v>
      </c>
      <c r="C61" t="s">
        <v>64</v>
      </c>
      <c r="D61">
        <v>2</v>
      </c>
      <c r="E61">
        <v>36.29</v>
      </c>
      <c r="F61">
        <v>72.58</v>
      </c>
      <c r="G61" t="s">
        <v>14</v>
      </c>
      <c r="H61" t="s">
        <v>36</v>
      </c>
    </row>
    <row r="62" spans="1:8" x14ac:dyDescent="0.3">
      <c r="A62" t="s">
        <v>91</v>
      </c>
      <c r="B62" s="1">
        <v>46139</v>
      </c>
      <c r="C62" t="s">
        <v>28</v>
      </c>
      <c r="D62">
        <v>7</v>
      </c>
      <c r="E62">
        <v>208.15</v>
      </c>
      <c r="F62">
        <v>1457.05</v>
      </c>
      <c r="G62" t="s">
        <v>10</v>
      </c>
      <c r="H62" t="s">
        <v>29</v>
      </c>
    </row>
    <row r="63" spans="1:8" x14ac:dyDescent="0.3">
      <c r="A63" t="s">
        <v>92</v>
      </c>
      <c r="B63" s="1">
        <v>46032</v>
      </c>
      <c r="C63" t="s">
        <v>33</v>
      </c>
      <c r="D63">
        <v>5</v>
      </c>
      <c r="E63">
        <v>103.77</v>
      </c>
      <c r="F63">
        <v>518.85</v>
      </c>
      <c r="G63" t="s">
        <v>20</v>
      </c>
      <c r="H63" t="s">
        <v>17</v>
      </c>
    </row>
    <row r="64" spans="1:8" x14ac:dyDescent="0.3">
      <c r="A64" t="s">
        <v>93</v>
      </c>
      <c r="B64" s="1">
        <v>46113</v>
      </c>
      <c r="C64" t="s">
        <v>28</v>
      </c>
      <c r="D64">
        <v>7</v>
      </c>
      <c r="E64">
        <v>229.06</v>
      </c>
      <c r="F64">
        <v>1603.42</v>
      </c>
      <c r="G64" t="s">
        <v>20</v>
      </c>
      <c r="H64" t="s">
        <v>17</v>
      </c>
    </row>
    <row r="65" spans="1:8" x14ac:dyDescent="0.3">
      <c r="A65" t="s">
        <v>94</v>
      </c>
      <c r="B65" s="1">
        <v>46183</v>
      </c>
      <c r="C65" t="s">
        <v>44</v>
      </c>
      <c r="D65">
        <v>6</v>
      </c>
      <c r="E65">
        <v>132.61000000000001</v>
      </c>
      <c r="F65">
        <v>795.66</v>
      </c>
      <c r="G65" t="s">
        <v>14</v>
      </c>
      <c r="H65" t="s">
        <v>36</v>
      </c>
    </row>
    <row r="66" spans="1:8" x14ac:dyDescent="0.3">
      <c r="A66" t="s">
        <v>95</v>
      </c>
      <c r="B66" s="1">
        <v>46196</v>
      </c>
      <c r="C66" t="s">
        <v>39</v>
      </c>
      <c r="D66">
        <v>7</v>
      </c>
      <c r="E66">
        <v>213.29</v>
      </c>
      <c r="F66">
        <v>1493.03</v>
      </c>
      <c r="G66" t="s">
        <v>23</v>
      </c>
      <c r="H66" t="s">
        <v>21</v>
      </c>
    </row>
    <row r="67" spans="1:8" x14ac:dyDescent="0.3">
      <c r="A67" t="s">
        <v>96</v>
      </c>
      <c r="B67" s="1">
        <v>46169</v>
      </c>
      <c r="C67" t="s">
        <v>35</v>
      </c>
      <c r="D67">
        <v>4</v>
      </c>
      <c r="E67">
        <v>105.37</v>
      </c>
      <c r="F67">
        <v>421.48</v>
      </c>
      <c r="G67" t="s">
        <v>14</v>
      </c>
      <c r="H67" t="s">
        <v>40</v>
      </c>
    </row>
    <row r="68" spans="1:8" x14ac:dyDescent="0.3">
      <c r="A68" t="s">
        <v>97</v>
      </c>
      <c r="B68" s="1">
        <v>46071</v>
      </c>
      <c r="C68" t="s">
        <v>31</v>
      </c>
      <c r="D68">
        <v>1</v>
      </c>
      <c r="E68">
        <v>55.16</v>
      </c>
      <c r="F68">
        <v>55.16</v>
      </c>
      <c r="G68" t="s">
        <v>26</v>
      </c>
      <c r="H68" t="s">
        <v>40</v>
      </c>
    </row>
    <row r="69" spans="1:8" x14ac:dyDescent="0.3">
      <c r="A69" t="s">
        <v>98</v>
      </c>
      <c r="B69" s="1">
        <v>46098</v>
      </c>
      <c r="C69" t="s">
        <v>31</v>
      </c>
      <c r="D69">
        <v>8</v>
      </c>
      <c r="E69">
        <v>150.91</v>
      </c>
      <c r="F69">
        <v>1207.28</v>
      </c>
      <c r="G69" t="s">
        <v>10</v>
      </c>
      <c r="H69" t="s">
        <v>36</v>
      </c>
    </row>
    <row r="70" spans="1:8" x14ac:dyDescent="0.3">
      <c r="A70" t="s">
        <v>99</v>
      </c>
      <c r="B70" s="1">
        <v>46137</v>
      </c>
      <c r="C70" t="s">
        <v>44</v>
      </c>
      <c r="D70">
        <v>8</v>
      </c>
      <c r="E70">
        <v>55.16</v>
      </c>
      <c r="F70">
        <v>441.28</v>
      </c>
      <c r="G70" t="s">
        <v>10</v>
      </c>
      <c r="H70" t="s">
        <v>17</v>
      </c>
    </row>
    <row r="71" spans="1:8" x14ac:dyDescent="0.3">
      <c r="A71" t="s">
        <v>100</v>
      </c>
      <c r="B71" s="1">
        <v>46147</v>
      </c>
      <c r="C71" t="s">
        <v>33</v>
      </c>
      <c r="D71">
        <v>8</v>
      </c>
      <c r="E71">
        <v>114.94</v>
      </c>
      <c r="F71">
        <v>919.52</v>
      </c>
      <c r="G71" t="s">
        <v>26</v>
      </c>
      <c r="H71" t="s">
        <v>29</v>
      </c>
    </row>
    <row r="72" spans="1:8" x14ac:dyDescent="0.3">
      <c r="A72" t="s">
        <v>101</v>
      </c>
      <c r="B72" s="1">
        <v>46043</v>
      </c>
      <c r="C72" t="s">
        <v>44</v>
      </c>
      <c r="D72">
        <v>7</v>
      </c>
      <c r="E72">
        <v>123.53</v>
      </c>
      <c r="F72">
        <v>864.71</v>
      </c>
      <c r="G72" t="s">
        <v>20</v>
      </c>
      <c r="H72" t="s">
        <v>36</v>
      </c>
    </row>
    <row r="73" spans="1:8" x14ac:dyDescent="0.3">
      <c r="A73" t="s">
        <v>102</v>
      </c>
      <c r="B73" s="1">
        <v>46133</v>
      </c>
      <c r="C73" t="s">
        <v>9</v>
      </c>
      <c r="D73">
        <v>6</v>
      </c>
      <c r="E73">
        <v>106.03</v>
      </c>
      <c r="F73">
        <v>636.17999999999995</v>
      </c>
      <c r="G73" t="s">
        <v>10</v>
      </c>
      <c r="H73" t="s">
        <v>29</v>
      </c>
    </row>
    <row r="74" spans="1:8" x14ac:dyDescent="0.3">
      <c r="A74" t="s">
        <v>103</v>
      </c>
      <c r="B74" s="1">
        <v>46069</v>
      </c>
      <c r="C74" t="s">
        <v>39</v>
      </c>
      <c r="D74">
        <v>8</v>
      </c>
      <c r="E74">
        <v>179.22</v>
      </c>
      <c r="F74">
        <v>1433.76</v>
      </c>
      <c r="G74" t="s">
        <v>23</v>
      </c>
      <c r="H74" t="s">
        <v>29</v>
      </c>
    </row>
    <row r="75" spans="1:8" x14ac:dyDescent="0.3">
      <c r="A75" t="s">
        <v>104</v>
      </c>
      <c r="B75" s="1">
        <v>46133</v>
      </c>
      <c r="C75" t="s">
        <v>33</v>
      </c>
      <c r="D75">
        <v>7</v>
      </c>
      <c r="E75">
        <v>162.66</v>
      </c>
      <c r="F75">
        <v>1138.6199999999999</v>
      </c>
      <c r="G75" t="s">
        <v>10</v>
      </c>
      <c r="H75" t="s">
        <v>40</v>
      </c>
    </row>
    <row r="76" spans="1:8" x14ac:dyDescent="0.3">
      <c r="A76" t="s">
        <v>105</v>
      </c>
      <c r="B76" s="1">
        <v>46144</v>
      </c>
      <c r="C76" t="s">
        <v>35</v>
      </c>
      <c r="D76">
        <v>5</v>
      </c>
      <c r="E76">
        <v>207.98</v>
      </c>
      <c r="F76">
        <v>1039.9000000000001</v>
      </c>
      <c r="G76" t="s">
        <v>26</v>
      </c>
      <c r="H76" t="s">
        <v>11</v>
      </c>
    </row>
    <row r="77" spans="1:8" x14ac:dyDescent="0.3">
      <c r="A77" t="s">
        <v>106</v>
      </c>
      <c r="B77" s="1">
        <v>46160</v>
      </c>
      <c r="C77" t="s">
        <v>64</v>
      </c>
      <c r="D77">
        <v>7</v>
      </c>
      <c r="E77">
        <v>123.91</v>
      </c>
      <c r="F77">
        <v>867.37</v>
      </c>
      <c r="G77" t="s">
        <v>10</v>
      </c>
      <c r="H77" t="s">
        <v>11</v>
      </c>
    </row>
    <row r="78" spans="1:8" x14ac:dyDescent="0.3">
      <c r="A78" t="s">
        <v>107</v>
      </c>
      <c r="B78" s="1">
        <v>46158</v>
      </c>
      <c r="C78" t="s">
        <v>19</v>
      </c>
      <c r="D78">
        <v>4</v>
      </c>
      <c r="E78">
        <v>134.83000000000001</v>
      </c>
      <c r="F78">
        <v>539.32000000000005</v>
      </c>
      <c r="G78" t="s">
        <v>23</v>
      </c>
      <c r="H78" t="s">
        <v>29</v>
      </c>
    </row>
    <row r="79" spans="1:8" x14ac:dyDescent="0.3">
      <c r="A79" t="s">
        <v>108</v>
      </c>
      <c r="B79" s="1">
        <v>46163</v>
      </c>
      <c r="C79" t="s">
        <v>31</v>
      </c>
      <c r="D79">
        <v>6</v>
      </c>
      <c r="E79">
        <v>80.19</v>
      </c>
      <c r="F79">
        <v>481.14</v>
      </c>
      <c r="G79" t="s">
        <v>10</v>
      </c>
      <c r="H79" t="s">
        <v>21</v>
      </c>
    </row>
    <row r="80" spans="1:8" x14ac:dyDescent="0.3">
      <c r="A80" t="s">
        <v>109</v>
      </c>
      <c r="B80" s="1">
        <v>46116</v>
      </c>
      <c r="C80" t="s">
        <v>16</v>
      </c>
      <c r="D80">
        <v>6</v>
      </c>
      <c r="E80">
        <v>45.83</v>
      </c>
      <c r="F80">
        <v>274.98</v>
      </c>
      <c r="G80" t="s">
        <v>10</v>
      </c>
      <c r="H80" t="s">
        <v>21</v>
      </c>
    </row>
    <row r="81" spans="1:8" x14ac:dyDescent="0.3">
      <c r="A81" t="s">
        <v>110</v>
      </c>
      <c r="B81" s="1">
        <v>46093</v>
      </c>
      <c r="C81" t="s">
        <v>28</v>
      </c>
      <c r="D81">
        <v>7</v>
      </c>
      <c r="E81">
        <v>97.22</v>
      </c>
      <c r="F81">
        <v>680.54</v>
      </c>
      <c r="G81" t="s">
        <v>26</v>
      </c>
      <c r="H81" t="s">
        <v>40</v>
      </c>
    </row>
    <row r="82" spans="1:8" x14ac:dyDescent="0.3">
      <c r="A82" t="s">
        <v>111</v>
      </c>
      <c r="B82" s="1">
        <v>46100</v>
      </c>
      <c r="C82" t="s">
        <v>35</v>
      </c>
      <c r="D82">
        <v>7</v>
      </c>
      <c r="E82">
        <v>145.34</v>
      </c>
      <c r="F82">
        <v>1017.38</v>
      </c>
      <c r="G82" t="s">
        <v>14</v>
      </c>
      <c r="H82" t="s">
        <v>40</v>
      </c>
    </row>
    <row r="83" spans="1:8" x14ac:dyDescent="0.3">
      <c r="A83" t="s">
        <v>112</v>
      </c>
      <c r="B83" s="1">
        <v>46045</v>
      </c>
      <c r="C83" t="s">
        <v>13</v>
      </c>
      <c r="D83">
        <v>1</v>
      </c>
      <c r="E83">
        <v>78.430000000000007</v>
      </c>
      <c r="F83">
        <v>78.430000000000007</v>
      </c>
      <c r="G83" t="s">
        <v>20</v>
      </c>
      <c r="H83" t="s">
        <v>17</v>
      </c>
    </row>
    <row r="84" spans="1:8" x14ac:dyDescent="0.3">
      <c r="A84" t="s">
        <v>113</v>
      </c>
      <c r="B84" s="1">
        <v>46075</v>
      </c>
      <c r="C84" t="s">
        <v>35</v>
      </c>
      <c r="D84">
        <v>4</v>
      </c>
      <c r="E84">
        <v>24.31</v>
      </c>
      <c r="F84">
        <v>97.24</v>
      </c>
      <c r="G84" t="s">
        <v>14</v>
      </c>
      <c r="H84" t="s">
        <v>36</v>
      </c>
    </row>
    <row r="85" spans="1:8" x14ac:dyDescent="0.3">
      <c r="A85" t="s">
        <v>114</v>
      </c>
      <c r="B85" s="1">
        <v>46173</v>
      </c>
      <c r="C85" t="s">
        <v>25</v>
      </c>
      <c r="D85">
        <v>3</v>
      </c>
      <c r="E85">
        <v>110.73</v>
      </c>
      <c r="F85">
        <v>332.19</v>
      </c>
      <c r="G85" t="s">
        <v>26</v>
      </c>
      <c r="H85" t="s">
        <v>11</v>
      </c>
    </row>
    <row r="86" spans="1:8" x14ac:dyDescent="0.3">
      <c r="A86" t="s">
        <v>115</v>
      </c>
      <c r="B86" s="1">
        <v>46102</v>
      </c>
      <c r="C86" t="s">
        <v>44</v>
      </c>
      <c r="D86">
        <v>1</v>
      </c>
      <c r="E86">
        <v>211.31</v>
      </c>
      <c r="F86">
        <v>211.31</v>
      </c>
      <c r="G86" t="s">
        <v>23</v>
      </c>
      <c r="H86" t="s">
        <v>40</v>
      </c>
    </row>
    <row r="87" spans="1:8" x14ac:dyDescent="0.3">
      <c r="A87" t="s">
        <v>116</v>
      </c>
      <c r="B87" s="1">
        <v>46025</v>
      </c>
      <c r="C87" t="s">
        <v>19</v>
      </c>
      <c r="D87">
        <v>6</v>
      </c>
      <c r="E87">
        <v>129.28</v>
      </c>
      <c r="F87">
        <v>775.68</v>
      </c>
      <c r="G87" t="s">
        <v>14</v>
      </c>
      <c r="H87" t="s">
        <v>17</v>
      </c>
    </row>
    <row r="88" spans="1:8" x14ac:dyDescent="0.3">
      <c r="A88" t="s">
        <v>117</v>
      </c>
      <c r="B88" s="1">
        <v>46154</v>
      </c>
      <c r="C88" t="s">
        <v>19</v>
      </c>
      <c r="D88">
        <v>6</v>
      </c>
      <c r="E88">
        <v>119.41</v>
      </c>
      <c r="F88">
        <v>716.46</v>
      </c>
      <c r="G88" t="s">
        <v>20</v>
      </c>
      <c r="H88" t="s">
        <v>40</v>
      </c>
    </row>
    <row r="89" spans="1:8" x14ac:dyDescent="0.3">
      <c r="A89" t="s">
        <v>118</v>
      </c>
      <c r="B89" s="1">
        <v>46088</v>
      </c>
      <c r="C89" t="s">
        <v>28</v>
      </c>
      <c r="D89">
        <v>5</v>
      </c>
      <c r="E89">
        <v>247.06</v>
      </c>
      <c r="F89">
        <v>1235.3</v>
      </c>
      <c r="G89" t="s">
        <v>23</v>
      </c>
      <c r="H89" t="s">
        <v>29</v>
      </c>
    </row>
    <row r="90" spans="1:8" x14ac:dyDescent="0.3">
      <c r="A90" t="s">
        <v>119</v>
      </c>
      <c r="B90" s="1">
        <v>46199</v>
      </c>
      <c r="C90" t="s">
        <v>44</v>
      </c>
      <c r="D90">
        <v>8</v>
      </c>
      <c r="E90">
        <v>70.14</v>
      </c>
      <c r="F90">
        <v>561.12</v>
      </c>
      <c r="G90" t="s">
        <v>14</v>
      </c>
      <c r="H90" t="s">
        <v>17</v>
      </c>
    </row>
    <row r="91" spans="1:8" x14ac:dyDescent="0.3">
      <c r="A91" t="s">
        <v>120</v>
      </c>
      <c r="B91" s="1">
        <v>46058</v>
      </c>
      <c r="C91" t="s">
        <v>33</v>
      </c>
      <c r="D91">
        <v>8</v>
      </c>
      <c r="E91">
        <v>190.32</v>
      </c>
      <c r="F91">
        <v>1522.56</v>
      </c>
      <c r="G91" t="s">
        <v>26</v>
      </c>
      <c r="H91" t="s">
        <v>29</v>
      </c>
    </row>
    <row r="92" spans="1:8" x14ac:dyDescent="0.3">
      <c r="A92" t="s">
        <v>121</v>
      </c>
      <c r="B92" s="1">
        <v>46138</v>
      </c>
      <c r="C92" t="s">
        <v>33</v>
      </c>
      <c r="D92">
        <v>2</v>
      </c>
      <c r="E92">
        <v>47.23</v>
      </c>
      <c r="F92">
        <v>94.46</v>
      </c>
      <c r="G92" t="s">
        <v>23</v>
      </c>
      <c r="H92" t="s">
        <v>11</v>
      </c>
    </row>
    <row r="93" spans="1:8" x14ac:dyDescent="0.3">
      <c r="A93" t="s">
        <v>122</v>
      </c>
      <c r="B93" s="1">
        <v>46142</v>
      </c>
      <c r="C93" t="s">
        <v>39</v>
      </c>
      <c r="D93">
        <v>2</v>
      </c>
      <c r="E93">
        <v>129.16</v>
      </c>
      <c r="F93">
        <v>258.32</v>
      </c>
      <c r="G93" t="s">
        <v>20</v>
      </c>
      <c r="H93" t="s">
        <v>11</v>
      </c>
    </row>
    <row r="94" spans="1:8" x14ac:dyDescent="0.3">
      <c r="A94" t="s">
        <v>123</v>
      </c>
      <c r="B94" s="1">
        <v>46105</v>
      </c>
      <c r="C94" t="s">
        <v>39</v>
      </c>
      <c r="D94">
        <v>4</v>
      </c>
      <c r="E94">
        <v>204.21</v>
      </c>
      <c r="F94">
        <v>816.84</v>
      </c>
      <c r="G94" t="s">
        <v>10</v>
      </c>
      <c r="H94" t="s">
        <v>36</v>
      </c>
    </row>
    <row r="95" spans="1:8" x14ac:dyDescent="0.3">
      <c r="A95" t="s">
        <v>124</v>
      </c>
      <c r="B95" s="1">
        <v>46096</v>
      </c>
      <c r="C95" t="s">
        <v>31</v>
      </c>
      <c r="D95">
        <v>7</v>
      </c>
      <c r="E95">
        <v>101.14</v>
      </c>
      <c r="F95">
        <v>707.98</v>
      </c>
      <c r="G95" t="s">
        <v>23</v>
      </c>
      <c r="H95" t="s">
        <v>17</v>
      </c>
    </row>
    <row r="96" spans="1:8" x14ac:dyDescent="0.3">
      <c r="A96" t="s">
        <v>125</v>
      </c>
      <c r="B96" s="1">
        <v>46185</v>
      </c>
      <c r="C96" t="s">
        <v>19</v>
      </c>
      <c r="D96">
        <v>4</v>
      </c>
      <c r="E96">
        <v>87.02</v>
      </c>
      <c r="F96">
        <v>348.08</v>
      </c>
      <c r="G96" t="s">
        <v>26</v>
      </c>
      <c r="H96" t="s">
        <v>29</v>
      </c>
    </row>
    <row r="97" spans="1:8" x14ac:dyDescent="0.3">
      <c r="A97" t="s">
        <v>126</v>
      </c>
      <c r="B97" s="1">
        <v>46036</v>
      </c>
      <c r="C97" t="s">
        <v>13</v>
      </c>
      <c r="D97">
        <v>3</v>
      </c>
      <c r="E97">
        <v>95.05</v>
      </c>
      <c r="F97">
        <v>285.14999999999998</v>
      </c>
      <c r="G97" t="s">
        <v>10</v>
      </c>
      <c r="H97" t="s">
        <v>21</v>
      </c>
    </row>
    <row r="98" spans="1:8" x14ac:dyDescent="0.3">
      <c r="A98" t="s">
        <v>127</v>
      </c>
      <c r="B98" s="1">
        <v>46028</v>
      </c>
      <c r="C98" t="s">
        <v>19</v>
      </c>
      <c r="D98">
        <v>2</v>
      </c>
      <c r="E98">
        <v>157.18</v>
      </c>
      <c r="F98">
        <v>314.36</v>
      </c>
      <c r="G98" t="s">
        <v>20</v>
      </c>
      <c r="H98" t="s">
        <v>11</v>
      </c>
    </row>
    <row r="99" spans="1:8" x14ac:dyDescent="0.3">
      <c r="A99" t="s">
        <v>128</v>
      </c>
      <c r="B99" s="1">
        <v>46184</v>
      </c>
      <c r="C99" t="s">
        <v>9</v>
      </c>
      <c r="D99">
        <v>7</v>
      </c>
      <c r="E99">
        <v>200.15</v>
      </c>
      <c r="F99">
        <v>1401.05</v>
      </c>
      <c r="G99" t="s">
        <v>14</v>
      </c>
      <c r="H99" t="s">
        <v>21</v>
      </c>
    </row>
    <row r="100" spans="1:8" x14ac:dyDescent="0.3">
      <c r="A100" t="s">
        <v>129</v>
      </c>
      <c r="B100" s="1">
        <v>46121</v>
      </c>
      <c r="C100" t="s">
        <v>44</v>
      </c>
      <c r="D100">
        <v>8</v>
      </c>
      <c r="E100">
        <v>211.02</v>
      </c>
      <c r="F100">
        <v>1688.16</v>
      </c>
      <c r="G100" t="s">
        <v>14</v>
      </c>
      <c r="H100" t="s">
        <v>36</v>
      </c>
    </row>
    <row r="101" spans="1:8" x14ac:dyDescent="0.3">
      <c r="A101" t="s">
        <v>130</v>
      </c>
      <c r="B101" s="1">
        <v>46170</v>
      </c>
      <c r="C101" t="s">
        <v>25</v>
      </c>
      <c r="D101">
        <v>6</v>
      </c>
      <c r="E101">
        <v>95.39</v>
      </c>
      <c r="F101">
        <v>572.34</v>
      </c>
      <c r="G101" t="s">
        <v>10</v>
      </c>
      <c r="H101" t="s">
        <v>21</v>
      </c>
    </row>
    <row r="102" spans="1:8" x14ac:dyDescent="0.3">
      <c r="A102" t="s">
        <v>131</v>
      </c>
      <c r="B102" s="1">
        <v>46120</v>
      </c>
      <c r="C102" t="s">
        <v>64</v>
      </c>
      <c r="D102">
        <v>3</v>
      </c>
      <c r="E102">
        <v>174.42</v>
      </c>
      <c r="F102">
        <v>523.26</v>
      </c>
      <c r="G102" t="s">
        <v>20</v>
      </c>
      <c r="H102" t="s">
        <v>36</v>
      </c>
    </row>
    <row r="103" spans="1:8" x14ac:dyDescent="0.3">
      <c r="A103" t="s">
        <v>132</v>
      </c>
      <c r="B103" s="1">
        <v>46151</v>
      </c>
      <c r="C103" t="s">
        <v>28</v>
      </c>
      <c r="D103">
        <v>3</v>
      </c>
      <c r="E103">
        <v>20.420000000000002</v>
      </c>
      <c r="F103">
        <v>61.26</v>
      </c>
      <c r="G103" t="s">
        <v>10</v>
      </c>
      <c r="H103" t="s">
        <v>36</v>
      </c>
    </row>
    <row r="104" spans="1:8" x14ac:dyDescent="0.3">
      <c r="A104" t="s">
        <v>133</v>
      </c>
      <c r="B104" s="1">
        <v>46114</v>
      </c>
      <c r="C104" t="s">
        <v>31</v>
      </c>
      <c r="D104">
        <v>2</v>
      </c>
      <c r="E104">
        <v>147.5</v>
      </c>
      <c r="F104">
        <v>295</v>
      </c>
      <c r="G104" t="s">
        <v>10</v>
      </c>
      <c r="H104" t="s">
        <v>40</v>
      </c>
    </row>
    <row r="105" spans="1:8" x14ac:dyDescent="0.3">
      <c r="A105" t="s">
        <v>134</v>
      </c>
      <c r="B105" s="1">
        <v>46070</v>
      </c>
      <c r="C105" t="s">
        <v>64</v>
      </c>
      <c r="D105">
        <v>5</v>
      </c>
      <c r="E105">
        <v>145.81</v>
      </c>
      <c r="F105">
        <v>729.05</v>
      </c>
      <c r="G105" t="s">
        <v>10</v>
      </c>
      <c r="H105" t="s">
        <v>40</v>
      </c>
    </row>
    <row r="106" spans="1:8" x14ac:dyDescent="0.3">
      <c r="A106" t="s">
        <v>135</v>
      </c>
      <c r="B106" s="1">
        <v>46058</v>
      </c>
      <c r="C106" t="s">
        <v>33</v>
      </c>
      <c r="D106">
        <v>8</v>
      </c>
      <c r="E106">
        <v>199.7</v>
      </c>
      <c r="F106">
        <v>1597.6</v>
      </c>
      <c r="G106" t="s">
        <v>14</v>
      </c>
      <c r="H106" t="s">
        <v>17</v>
      </c>
    </row>
    <row r="107" spans="1:8" x14ac:dyDescent="0.3">
      <c r="A107" t="s">
        <v>136</v>
      </c>
      <c r="B107" s="1">
        <v>46197</v>
      </c>
      <c r="C107" t="s">
        <v>9</v>
      </c>
      <c r="D107">
        <v>1</v>
      </c>
      <c r="E107">
        <v>136.09</v>
      </c>
      <c r="F107">
        <v>136.09</v>
      </c>
      <c r="G107" t="s">
        <v>10</v>
      </c>
      <c r="H107" t="s">
        <v>17</v>
      </c>
    </row>
    <row r="108" spans="1:8" x14ac:dyDescent="0.3">
      <c r="A108" t="s">
        <v>137</v>
      </c>
      <c r="B108" s="1">
        <v>46198</v>
      </c>
      <c r="C108" t="s">
        <v>33</v>
      </c>
      <c r="D108">
        <v>5</v>
      </c>
      <c r="E108">
        <v>199.37</v>
      </c>
      <c r="F108">
        <v>996.85</v>
      </c>
      <c r="G108" t="s">
        <v>26</v>
      </c>
      <c r="H108" t="s">
        <v>17</v>
      </c>
    </row>
    <row r="109" spans="1:8" x14ac:dyDescent="0.3">
      <c r="A109" t="s">
        <v>138</v>
      </c>
      <c r="B109" s="1">
        <v>46112</v>
      </c>
      <c r="C109" t="s">
        <v>35</v>
      </c>
      <c r="D109">
        <v>5</v>
      </c>
      <c r="E109">
        <v>21.33</v>
      </c>
      <c r="F109">
        <v>106.65</v>
      </c>
      <c r="G109" t="s">
        <v>26</v>
      </c>
      <c r="H109" t="s">
        <v>11</v>
      </c>
    </row>
    <row r="110" spans="1:8" x14ac:dyDescent="0.3">
      <c r="A110" t="s">
        <v>139</v>
      </c>
      <c r="B110" s="1">
        <v>46123</v>
      </c>
      <c r="C110" t="s">
        <v>9</v>
      </c>
      <c r="D110">
        <v>5</v>
      </c>
      <c r="E110">
        <v>92.38</v>
      </c>
      <c r="F110">
        <v>461.9</v>
      </c>
      <c r="G110" t="s">
        <v>14</v>
      </c>
      <c r="H110" t="s">
        <v>36</v>
      </c>
    </row>
    <row r="111" spans="1:8" x14ac:dyDescent="0.3">
      <c r="A111" t="s">
        <v>140</v>
      </c>
      <c r="B111" s="1">
        <v>46066</v>
      </c>
      <c r="C111" t="s">
        <v>9</v>
      </c>
      <c r="D111">
        <v>2</v>
      </c>
      <c r="E111">
        <v>82.19</v>
      </c>
      <c r="F111">
        <v>164.38</v>
      </c>
      <c r="G111" t="s">
        <v>10</v>
      </c>
      <c r="H111" t="s">
        <v>40</v>
      </c>
    </row>
    <row r="112" spans="1:8" x14ac:dyDescent="0.3">
      <c r="A112" t="s">
        <v>141</v>
      </c>
      <c r="B112" s="1">
        <v>46200</v>
      </c>
      <c r="C112" t="s">
        <v>19</v>
      </c>
      <c r="D112">
        <v>5</v>
      </c>
      <c r="E112">
        <v>164.71</v>
      </c>
      <c r="F112">
        <v>823.55</v>
      </c>
      <c r="G112" t="s">
        <v>14</v>
      </c>
      <c r="H112" t="s">
        <v>40</v>
      </c>
    </row>
    <row r="113" spans="1:8" x14ac:dyDescent="0.3">
      <c r="A113" t="s">
        <v>142</v>
      </c>
      <c r="B113" s="1">
        <v>46066</v>
      </c>
      <c r="C113" t="s">
        <v>19</v>
      </c>
      <c r="D113">
        <v>3</v>
      </c>
      <c r="E113">
        <v>16.97</v>
      </c>
      <c r="F113">
        <v>50.91</v>
      </c>
      <c r="G113" t="s">
        <v>23</v>
      </c>
      <c r="H113" t="s">
        <v>11</v>
      </c>
    </row>
    <row r="114" spans="1:8" x14ac:dyDescent="0.3">
      <c r="A114" t="s">
        <v>143</v>
      </c>
      <c r="B114" s="1">
        <v>46110</v>
      </c>
      <c r="C114" t="s">
        <v>28</v>
      </c>
      <c r="D114">
        <v>5</v>
      </c>
      <c r="E114">
        <v>116.14</v>
      </c>
      <c r="F114">
        <v>580.70000000000005</v>
      </c>
      <c r="G114" t="s">
        <v>23</v>
      </c>
      <c r="H114" t="s">
        <v>29</v>
      </c>
    </row>
    <row r="115" spans="1:8" x14ac:dyDescent="0.3">
      <c r="A115" t="s">
        <v>144</v>
      </c>
      <c r="B115" s="1">
        <v>46070</v>
      </c>
      <c r="C115" t="s">
        <v>39</v>
      </c>
      <c r="D115">
        <v>8</v>
      </c>
      <c r="E115">
        <v>101.26</v>
      </c>
      <c r="F115">
        <v>810.08</v>
      </c>
      <c r="G115" t="s">
        <v>26</v>
      </c>
      <c r="H115" t="s">
        <v>36</v>
      </c>
    </row>
    <row r="116" spans="1:8" x14ac:dyDescent="0.3">
      <c r="A116" t="s">
        <v>145</v>
      </c>
      <c r="B116" s="1">
        <v>46106</v>
      </c>
      <c r="C116" t="s">
        <v>28</v>
      </c>
      <c r="D116">
        <v>3</v>
      </c>
      <c r="E116">
        <v>106.98</v>
      </c>
      <c r="F116">
        <v>320.94</v>
      </c>
      <c r="G116" t="s">
        <v>10</v>
      </c>
      <c r="H116" t="s">
        <v>11</v>
      </c>
    </row>
    <row r="117" spans="1:8" x14ac:dyDescent="0.3">
      <c r="A117" t="s">
        <v>146</v>
      </c>
      <c r="B117" s="1">
        <v>46180</v>
      </c>
      <c r="C117" t="s">
        <v>25</v>
      </c>
      <c r="D117">
        <v>6</v>
      </c>
      <c r="E117">
        <v>217.82</v>
      </c>
      <c r="F117">
        <v>1306.92</v>
      </c>
      <c r="G117" t="s">
        <v>10</v>
      </c>
      <c r="H117" t="s">
        <v>40</v>
      </c>
    </row>
    <row r="118" spans="1:8" x14ac:dyDescent="0.3">
      <c r="A118" t="s">
        <v>147</v>
      </c>
      <c r="B118" s="1">
        <v>46115</v>
      </c>
      <c r="C118" t="s">
        <v>13</v>
      </c>
      <c r="D118">
        <v>4</v>
      </c>
      <c r="E118">
        <v>82.75</v>
      </c>
      <c r="F118">
        <v>331</v>
      </c>
      <c r="G118" t="s">
        <v>26</v>
      </c>
      <c r="H118" t="s">
        <v>21</v>
      </c>
    </row>
    <row r="119" spans="1:8" x14ac:dyDescent="0.3">
      <c r="A119" t="s">
        <v>148</v>
      </c>
      <c r="B119" s="1">
        <v>46201</v>
      </c>
      <c r="C119" t="s">
        <v>16</v>
      </c>
      <c r="D119">
        <v>2</v>
      </c>
      <c r="E119">
        <v>63.53</v>
      </c>
      <c r="F119">
        <v>127.06</v>
      </c>
      <c r="G119" t="s">
        <v>10</v>
      </c>
      <c r="H119" t="s">
        <v>36</v>
      </c>
    </row>
    <row r="120" spans="1:8" x14ac:dyDescent="0.3">
      <c r="A120" t="s">
        <v>149</v>
      </c>
      <c r="B120" s="1">
        <v>46153</v>
      </c>
      <c r="C120" t="s">
        <v>28</v>
      </c>
      <c r="D120">
        <v>5</v>
      </c>
      <c r="E120">
        <v>133.97999999999999</v>
      </c>
      <c r="F120">
        <v>669.9</v>
      </c>
      <c r="G120" t="s">
        <v>20</v>
      </c>
      <c r="H120" t="s">
        <v>17</v>
      </c>
    </row>
    <row r="121" spans="1:8" x14ac:dyDescent="0.3">
      <c r="A121" t="s">
        <v>150</v>
      </c>
      <c r="B121" s="1">
        <v>46150</v>
      </c>
      <c r="C121" t="s">
        <v>44</v>
      </c>
      <c r="D121">
        <v>2</v>
      </c>
      <c r="E121">
        <v>40.29</v>
      </c>
      <c r="F121">
        <v>80.58</v>
      </c>
      <c r="G121" t="s">
        <v>23</v>
      </c>
      <c r="H121" t="s">
        <v>40</v>
      </c>
    </row>
    <row r="122" spans="1:8" x14ac:dyDescent="0.3">
      <c r="A122" t="s">
        <v>151</v>
      </c>
      <c r="B122" s="1">
        <v>46105</v>
      </c>
      <c r="C122" t="s">
        <v>35</v>
      </c>
      <c r="D122">
        <v>5</v>
      </c>
      <c r="E122">
        <v>67.680000000000007</v>
      </c>
      <c r="F122">
        <v>338.4</v>
      </c>
      <c r="G122" t="s">
        <v>23</v>
      </c>
      <c r="H122" t="s">
        <v>21</v>
      </c>
    </row>
    <row r="123" spans="1:8" x14ac:dyDescent="0.3">
      <c r="A123" t="s">
        <v>152</v>
      </c>
      <c r="B123" s="1">
        <v>46046</v>
      </c>
      <c r="C123" t="s">
        <v>25</v>
      </c>
      <c r="D123">
        <v>4</v>
      </c>
      <c r="E123">
        <v>155.01</v>
      </c>
      <c r="F123">
        <v>620.04</v>
      </c>
      <c r="G123" t="s">
        <v>23</v>
      </c>
      <c r="H123" t="s">
        <v>29</v>
      </c>
    </row>
    <row r="124" spans="1:8" x14ac:dyDescent="0.3">
      <c r="A124" t="s">
        <v>153</v>
      </c>
      <c r="B124" s="1">
        <v>46181</v>
      </c>
      <c r="C124" t="s">
        <v>19</v>
      </c>
      <c r="D124">
        <v>7</v>
      </c>
      <c r="E124">
        <v>164.92</v>
      </c>
      <c r="F124">
        <v>1154.44</v>
      </c>
      <c r="G124" t="s">
        <v>20</v>
      </c>
      <c r="H124" t="s">
        <v>11</v>
      </c>
    </row>
    <row r="125" spans="1:8" x14ac:dyDescent="0.3">
      <c r="A125" t="s">
        <v>154</v>
      </c>
      <c r="B125" s="1">
        <v>46030</v>
      </c>
      <c r="C125" t="s">
        <v>16</v>
      </c>
      <c r="D125">
        <v>4</v>
      </c>
      <c r="E125">
        <v>73.540000000000006</v>
      </c>
      <c r="F125">
        <v>294.16000000000003</v>
      </c>
      <c r="G125" t="s">
        <v>26</v>
      </c>
      <c r="H125" t="s">
        <v>40</v>
      </c>
    </row>
    <row r="126" spans="1:8" x14ac:dyDescent="0.3">
      <c r="A126" t="s">
        <v>155</v>
      </c>
      <c r="B126" s="1">
        <v>46061</v>
      </c>
      <c r="C126" t="s">
        <v>33</v>
      </c>
      <c r="D126">
        <v>6</v>
      </c>
      <c r="E126">
        <v>64.569999999999993</v>
      </c>
      <c r="F126">
        <v>387.42</v>
      </c>
      <c r="G126" t="s">
        <v>26</v>
      </c>
      <c r="H126" t="s">
        <v>17</v>
      </c>
    </row>
    <row r="127" spans="1:8" x14ac:dyDescent="0.3">
      <c r="A127" t="s">
        <v>156</v>
      </c>
      <c r="B127" s="1">
        <v>46078</v>
      </c>
      <c r="C127" t="s">
        <v>33</v>
      </c>
      <c r="D127">
        <v>6</v>
      </c>
      <c r="E127">
        <v>100.31</v>
      </c>
      <c r="F127">
        <v>601.86</v>
      </c>
      <c r="G127" t="s">
        <v>23</v>
      </c>
      <c r="H127" t="s">
        <v>40</v>
      </c>
    </row>
    <row r="128" spans="1:8" x14ac:dyDescent="0.3">
      <c r="A128" t="s">
        <v>157</v>
      </c>
      <c r="B128" s="1">
        <v>46036</v>
      </c>
      <c r="C128" t="s">
        <v>44</v>
      </c>
      <c r="D128">
        <v>2</v>
      </c>
      <c r="E128">
        <v>101.62</v>
      </c>
      <c r="F128">
        <v>203.24</v>
      </c>
      <c r="G128" t="s">
        <v>20</v>
      </c>
      <c r="H128" t="s">
        <v>36</v>
      </c>
    </row>
    <row r="129" spans="1:8" x14ac:dyDescent="0.3">
      <c r="A129" t="s">
        <v>158</v>
      </c>
      <c r="B129" s="1">
        <v>46046</v>
      </c>
      <c r="C129" t="s">
        <v>19</v>
      </c>
      <c r="D129">
        <v>1</v>
      </c>
      <c r="E129">
        <v>218.28</v>
      </c>
      <c r="F129">
        <v>218.28</v>
      </c>
      <c r="G129" t="s">
        <v>20</v>
      </c>
      <c r="H129" t="s">
        <v>36</v>
      </c>
    </row>
    <row r="130" spans="1:8" x14ac:dyDescent="0.3">
      <c r="A130" t="s">
        <v>159</v>
      </c>
      <c r="B130" s="1">
        <v>46144</v>
      </c>
      <c r="C130" t="s">
        <v>64</v>
      </c>
      <c r="D130">
        <v>7</v>
      </c>
      <c r="E130">
        <v>136.88999999999999</v>
      </c>
      <c r="F130">
        <v>958.23</v>
      </c>
      <c r="G130" t="s">
        <v>26</v>
      </c>
      <c r="H130" t="s">
        <v>21</v>
      </c>
    </row>
    <row r="131" spans="1:8" x14ac:dyDescent="0.3">
      <c r="A131" t="s">
        <v>160</v>
      </c>
      <c r="B131" s="1">
        <v>46161</v>
      </c>
      <c r="C131" t="s">
        <v>44</v>
      </c>
      <c r="D131">
        <v>7</v>
      </c>
      <c r="E131">
        <v>222.09</v>
      </c>
      <c r="F131">
        <v>1554.63</v>
      </c>
      <c r="G131" t="s">
        <v>20</v>
      </c>
      <c r="H131" t="s">
        <v>36</v>
      </c>
    </row>
    <row r="132" spans="1:8" x14ac:dyDescent="0.3">
      <c r="A132" t="s">
        <v>161</v>
      </c>
      <c r="B132" s="1">
        <v>46188</v>
      </c>
      <c r="C132" t="s">
        <v>9</v>
      </c>
      <c r="D132">
        <v>8</v>
      </c>
      <c r="E132">
        <v>216.34</v>
      </c>
      <c r="F132">
        <v>1730.72</v>
      </c>
      <c r="G132" t="s">
        <v>14</v>
      </c>
      <c r="H132" t="s">
        <v>21</v>
      </c>
    </row>
    <row r="133" spans="1:8" x14ac:dyDescent="0.3">
      <c r="A133" t="s">
        <v>162</v>
      </c>
      <c r="B133" s="1">
        <v>46155</v>
      </c>
      <c r="C133" t="s">
        <v>35</v>
      </c>
      <c r="D133">
        <v>8</v>
      </c>
      <c r="E133">
        <v>101.86</v>
      </c>
      <c r="F133">
        <v>814.88</v>
      </c>
      <c r="G133" t="s">
        <v>23</v>
      </c>
      <c r="H133" t="s">
        <v>11</v>
      </c>
    </row>
    <row r="134" spans="1:8" x14ac:dyDescent="0.3">
      <c r="A134" t="s">
        <v>163</v>
      </c>
      <c r="B134" s="1">
        <v>46061</v>
      </c>
      <c r="C134" t="s">
        <v>64</v>
      </c>
      <c r="D134">
        <v>4</v>
      </c>
      <c r="E134">
        <v>76.08</v>
      </c>
      <c r="F134">
        <v>304.32</v>
      </c>
      <c r="G134" t="s">
        <v>20</v>
      </c>
      <c r="H134" t="s">
        <v>21</v>
      </c>
    </row>
    <row r="135" spans="1:8" x14ac:dyDescent="0.3">
      <c r="A135" t="s">
        <v>164</v>
      </c>
      <c r="B135" s="1">
        <v>46157</v>
      </c>
      <c r="C135" t="s">
        <v>19</v>
      </c>
      <c r="D135">
        <v>4</v>
      </c>
      <c r="E135">
        <v>86.42</v>
      </c>
      <c r="F135">
        <v>345.68</v>
      </c>
      <c r="G135" t="s">
        <v>10</v>
      </c>
      <c r="H135" t="s">
        <v>29</v>
      </c>
    </row>
    <row r="136" spans="1:8" x14ac:dyDescent="0.3">
      <c r="A136" t="s">
        <v>165</v>
      </c>
      <c r="B136" s="1">
        <v>46160</v>
      </c>
      <c r="C136" t="s">
        <v>13</v>
      </c>
      <c r="D136">
        <v>4</v>
      </c>
      <c r="E136">
        <v>173.35</v>
      </c>
      <c r="F136">
        <v>693.4</v>
      </c>
      <c r="G136" t="s">
        <v>14</v>
      </c>
      <c r="H136" t="s">
        <v>36</v>
      </c>
    </row>
    <row r="137" spans="1:8" x14ac:dyDescent="0.3">
      <c r="A137" t="s">
        <v>166</v>
      </c>
      <c r="B137" s="1">
        <v>46197</v>
      </c>
      <c r="C137" t="s">
        <v>31</v>
      </c>
      <c r="D137">
        <v>1</v>
      </c>
      <c r="E137">
        <v>162.11000000000001</v>
      </c>
      <c r="F137">
        <v>162.11000000000001</v>
      </c>
      <c r="G137" t="s">
        <v>26</v>
      </c>
      <c r="H137" t="s">
        <v>17</v>
      </c>
    </row>
    <row r="138" spans="1:8" x14ac:dyDescent="0.3">
      <c r="A138" t="s">
        <v>167</v>
      </c>
      <c r="B138" s="1">
        <v>46184</v>
      </c>
      <c r="C138" t="s">
        <v>35</v>
      </c>
      <c r="D138">
        <v>5</v>
      </c>
      <c r="E138">
        <v>153.15</v>
      </c>
      <c r="F138">
        <v>765.75</v>
      </c>
      <c r="G138" t="s">
        <v>14</v>
      </c>
      <c r="H138" t="s">
        <v>36</v>
      </c>
    </row>
    <row r="139" spans="1:8" x14ac:dyDescent="0.3">
      <c r="A139" t="s">
        <v>168</v>
      </c>
      <c r="B139" s="1">
        <v>46170</v>
      </c>
      <c r="C139" t="s">
        <v>39</v>
      </c>
      <c r="D139">
        <v>2</v>
      </c>
      <c r="E139">
        <v>155.6</v>
      </c>
      <c r="F139">
        <v>311.2</v>
      </c>
      <c r="G139" t="s">
        <v>23</v>
      </c>
      <c r="H139" t="s">
        <v>11</v>
      </c>
    </row>
    <row r="140" spans="1:8" x14ac:dyDescent="0.3">
      <c r="A140" t="s">
        <v>169</v>
      </c>
      <c r="B140" s="1">
        <v>46169</v>
      </c>
      <c r="C140" t="s">
        <v>16</v>
      </c>
      <c r="D140">
        <v>6</v>
      </c>
      <c r="E140">
        <v>16.7</v>
      </c>
      <c r="F140">
        <v>100.2</v>
      </c>
      <c r="G140" t="s">
        <v>14</v>
      </c>
      <c r="H140" t="s">
        <v>11</v>
      </c>
    </row>
    <row r="141" spans="1:8" x14ac:dyDescent="0.3">
      <c r="A141" t="s">
        <v>170</v>
      </c>
      <c r="B141" s="1">
        <v>46025</v>
      </c>
      <c r="C141" t="s">
        <v>35</v>
      </c>
      <c r="D141">
        <v>6</v>
      </c>
      <c r="E141">
        <v>19.100000000000001</v>
      </c>
      <c r="F141">
        <v>114.6</v>
      </c>
      <c r="G141" t="s">
        <v>10</v>
      </c>
      <c r="H141" t="s">
        <v>36</v>
      </c>
    </row>
    <row r="142" spans="1:8" x14ac:dyDescent="0.3">
      <c r="A142" t="s">
        <v>171</v>
      </c>
      <c r="B142" s="1">
        <v>46105</v>
      </c>
      <c r="C142" t="s">
        <v>9</v>
      </c>
      <c r="D142">
        <v>7</v>
      </c>
      <c r="E142">
        <v>72.069999999999993</v>
      </c>
      <c r="F142">
        <v>504.49</v>
      </c>
      <c r="G142" t="s">
        <v>14</v>
      </c>
      <c r="H142" t="s">
        <v>29</v>
      </c>
    </row>
    <row r="143" spans="1:8" x14ac:dyDescent="0.3">
      <c r="A143" t="s">
        <v>172</v>
      </c>
      <c r="B143" s="1">
        <v>46132</v>
      </c>
      <c r="C143" t="s">
        <v>35</v>
      </c>
      <c r="D143">
        <v>1</v>
      </c>
      <c r="E143">
        <v>124.59</v>
      </c>
      <c r="F143">
        <v>124.59</v>
      </c>
      <c r="G143" t="s">
        <v>20</v>
      </c>
      <c r="H143" t="s">
        <v>17</v>
      </c>
    </row>
    <row r="144" spans="1:8" x14ac:dyDescent="0.3">
      <c r="A144" t="s">
        <v>173</v>
      </c>
      <c r="B144" s="1">
        <v>46134</v>
      </c>
      <c r="C144" t="s">
        <v>28</v>
      </c>
      <c r="D144">
        <v>4</v>
      </c>
      <c r="E144">
        <v>156.06</v>
      </c>
      <c r="F144">
        <v>624.24</v>
      </c>
      <c r="G144" t="s">
        <v>23</v>
      </c>
      <c r="H144" t="s">
        <v>21</v>
      </c>
    </row>
    <row r="145" spans="1:8" x14ac:dyDescent="0.3">
      <c r="A145" t="s">
        <v>174</v>
      </c>
      <c r="B145" s="1">
        <v>46181</v>
      </c>
      <c r="C145" t="s">
        <v>16</v>
      </c>
      <c r="D145">
        <v>7</v>
      </c>
      <c r="E145">
        <v>209.76</v>
      </c>
      <c r="F145">
        <v>1468.32</v>
      </c>
      <c r="G145" t="s">
        <v>23</v>
      </c>
      <c r="H145" t="s">
        <v>17</v>
      </c>
    </row>
    <row r="146" spans="1:8" x14ac:dyDescent="0.3">
      <c r="A146" t="s">
        <v>175</v>
      </c>
      <c r="B146" s="1">
        <v>46183</v>
      </c>
      <c r="C146" t="s">
        <v>19</v>
      </c>
      <c r="D146">
        <v>4</v>
      </c>
      <c r="E146">
        <v>156.38</v>
      </c>
      <c r="F146">
        <v>625.52</v>
      </c>
      <c r="G146" t="s">
        <v>14</v>
      </c>
      <c r="H146" t="s">
        <v>40</v>
      </c>
    </row>
    <row r="147" spans="1:8" x14ac:dyDescent="0.3">
      <c r="A147" t="s">
        <v>176</v>
      </c>
      <c r="B147" s="1">
        <v>46070</v>
      </c>
      <c r="C147" t="s">
        <v>35</v>
      </c>
      <c r="D147">
        <v>1</v>
      </c>
      <c r="E147">
        <v>160.51</v>
      </c>
      <c r="F147">
        <v>160.51</v>
      </c>
      <c r="G147" t="s">
        <v>10</v>
      </c>
      <c r="H147" t="s">
        <v>11</v>
      </c>
    </row>
    <row r="148" spans="1:8" x14ac:dyDescent="0.3">
      <c r="A148" t="s">
        <v>177</v>
      </c>
      <c r="B148" s="1">
        <v>46030</v>
      </c>
      <c r="C148" t="s">
        <v>19</v>
      </c>
      <c r="D148">
        <v>5</v>
      </c>
      <c r="E148">
        <v>97.85</v>
      </c>
      <c r="F148">
        <v>489.25</v>
      </c>
      <c r="G148" t="s">
        <v>26</v>
      </c>
      <c r="H148" t="s">
        <v>11</v>
      </c>
    </row>
    <row r="149" spans="1:8" x14ac:dyDescent="0.3">
      <c r="A149" t="s">
        <v>178</v>
      </c>
      <c r="B149" s="1">
        <v>46182</v>
      </c>
      <c r="C149" t="s">
        <v>31</v>
      </c>
      <c r="D149">
        <v>7</v>
      </c>
      <c r="E149">
        <v>154.63</v>
      </c>
      <c r="F149">
        <v>1082.4100000000001</v>
      </c>
      <c r="G149" t="s">
        <v>14</v>
      </c>
      <c r="H149" t="s">
        <v>36</v>
      </c>
    </row>
    <row r="150" spans="1:8" x14ac:dyDescent="0.3">
      <c r="A150" t="s">
        <v>179</v>
      </c>
      <c r="B150" s="1">
        <v>46177</v>
      </c>
      <c r="C150" t="s">
        <v>31</v>
      </c>
      <c r="D150">
        <v>3</v>
      </c>
      <c r="E150">
        <v>151.96</v>
      </c>
      <c r="F150">
        <v>455.88</v>
      </c>
      <c r="G150" t="s">
        <v>20</v>
      </c>
      <c r="H150" t="s">
        <v>11</v>
      </c>
    </row>
    <row r="151" spans="1:8" x14ac:dyDescent="0.3">
      <c r="A151" t="s">
        <v>180</v>
      </c>
      <c r="B151" s="1">
        <v>46139</v>
      </c>
      <c r="C151" t="s">
        <v>64</v>
      </c>
      <c r="D151">
        <v>4</v>
      </c>
      <c r="E151">
        <v>150.59</v>
      </c>
      <c r="F151">
        <v>602.36</v>
      </c>
      <c r="G151" t="s">
        <v>23</v>
      </c>
      <c r="H151" t="s">
        <v>21</v>
      </c>
    </row>
    <row r="152" spans="1:8" x14ac:dyDescent="0.3">
      <c r="A152" t="s">
        <v>181</v>
      </c>
      <c r="B152" s="1">
        <v>46106</v>
      </c>
      <c r="C152" t="s">
        <v>28</v>
      </c>
      <c r="D152">
        <v>3</v>
      </c>
      <c r="E152">
        <v>52.27</v>
      </c>
      <c r="F152">
        <v>156.81</v>
      </c>
      <c r="G152" t="s">
        <v>20</v>
      </c>
      <c r="H152" t="s">
        <v>17</v>
      </c>
    </row>
    <row r="153" spans="1:8" x14ac:dyDescent="0.3">
      <c r="A153" t="s">
        <v>182</v>
      </c>
      <c r="B153" s="1">
        <v>46125</v>
      </c>
      <c r="C153" t="s">
        <v>33</v>
      </c>
      <c r="D153">
        <v>1</v>
      </c>
      <c r="E153">
        <v>48.08</v>
      </c>
      <c r="F153">
        <v>48.08</v>
      </c>
      <c r="G153" t="s">
        <v>20</v>
      </c>
      <c r="H153" t="s">
        <v>40</v>
      </c>
    </row>
    <row r="154" spans="1:8" x14ac:dyDescent="0.3">
      <c r="A154" t="s">
        <v>183</v>
      </c>
      <c r="B154" s="1">
        <v>46099</v>
      </c>
      <c r="C154" t="s">
        <v>19</v>
      </c>
      <c r="D154">
        <v>7</v>
      </c>
      <c r="E154">
        <v>125.23</v>
      </c>
      <c r="F154">
        <v>876.61</v>
      </c>
      <c r="G154" t="s">
        <v>14</v>
      </c>
      <c r="H154" t="s">
        <v>21</v>
      </c>
    </row>
    <row r="155" spans="1:8" x14ac:dyDescent="0.3">
      <c r="A155" t="s">
        <v>184</v>
      </c>
      <c r="B155" s="1">
        <v>46060</v>
      </c>
      <c r="C155" t="s">
        <v>35</v>
      </c>
      <c r="D155">
        <v>2</v>
      </c>
      <c r="E155">
        <v>76.06</v>
      </c>
      <c r="F155">
        <v>152.12</v>
      </c>
      <c r="G155" t="s">
        <v>26</v>
      </c>
      <c r="H155" t="s">
        <v>21</v>
      </c>
    </row>
    <row r="156" spans="1:8" x14ac:dyDescent="0.3">
      <c r="A156" t="s">
        <v>185</v>
      </c>
      <c r="B156" s="1">
        <v>46102</v>
      </c>
      <c r="C156" t="s">
        <v>28</v>
      </c>
      <c r="D156">
        <v>5</v>
      </c>
      <c r="E156">
        <v>177.09</v>
      </c>
      <c r="F156">
        <v>885.45</v>
      </c>
      <c r="G156" t="s">
        <v>10</v>
      </c>
      <c r="H156" t="s">
        <v>29</v>
      </c>
    </row>
    <row r="157" spans="1:8" x14ac:dyDescent="0.3">
      <c r="A157" t="s">
        <v>186</v>
      </c>
      <c r="B157" s="1">
        <v>46104</v>
      </c>
      <c r="C157" t="s">
        <v>16</v>
      </c>
      <c r="D157">
        <v>2</v>
      </c>
      <c r="E157">
        <v>81.39</v>
      </c>
      <c r="F157">
        <v>162.78</v>
      </c>
      <c r="G157" t="s">
        <v>10</v>
      </c>
      <c r="H157" t="s">
        <v>17</v>
      </c>
    </row>
    <row r="158" spans="1:8" x14ac:dyDescent="0.3">
      <c r="A158" t="s">
        <v>187</v>
      </c>
      <c r="B158" s="1">
        <v>46196</v>
      </c>
      <c r="C158" t="s">
        <v>33</v>
      </c>
      <c r="D158">
        <v>8</v>
      </c>
      <c r="E158">
        <v>186.75</v>
      </c>
      <c r="F158">
        <v>1494</v>
      </c>
      <c r="G158" t="s">
        <v>26</v>
      </c>
      <c r="H158" t="s">
        <v>11</v>
      </c>
    </row>
    <row r="159" spans="1:8" x14ac:dyDescent="0.3">
      <c r="A159" t="s">
        <v>188</v>
      </c>
      <c r="B159" s="1">
        <v>46046</v>
      </c>
      <c r="C159" t="s">
        <v>13</v>
      </c>
      <c r="D159">
        <v>5</v>
      </c>
      <c r="E159">
        <v>105.75</v>
      </c>
      <c r="F159">
        <v>528.75</v>
      </c>
      <c r="G159" t="s">
        <v>14</v>
      </c>
      <c r="H159" t="s">
        <v>11</v>
      </c>
    </row>
    <row r="160" spans="1:8" x14ac:dyDescent="0.3">
      <c r="A160" t="s">
        <v>189</v>
      </c>
      <c r="B160" s="1">
        <v>46093</v>
      </c>
      <c r="C160" t="s">
        <v>28</v>
      </c>
      <c r="D160">
        <v>1</v>
      </c>
      <c r="E160">
        <v>166.85</v>
      </c>
      <c r="F160">
        <v>166.85</v>
      </c>
      <c r="G160" t="s">
        <v>20</v>
      </c>
      <c r="H160" t="s">
        <v>29</v>
      </c>
    </row>
    <row r="161" spans="1:8" x14ac:dyDescent="0.3">
      <c r="A161" t="s">
        <v>190</v>
      </c>
      <c r="B161" s="1">
        <v>46045</v>
      </c>
      <c r="C161" t="s">
        <v>35</v>
      </c>
      <c r="D161">
        <v>4</v>
      </c>
      <c r="E161">
        <v>84.28</v>
      </c>
      <c r="F161">
        <v>337.12</v>
      </c>
      <c r="G161" t="s">
        <v>26</v>
      </c>
      <c r="H161" t="s">
        <v>36</v>
      </c>
    </row>
    <row r="162" spans="1:8" x14ac:dyDescent="0.3">
      <c r="A162" t="s">
        <v>191</v>
      </c>
      <c r="B162" s="1">
        <v>46144</v>
      </c>
      <c r="C162" t="s">
        <v>25</v>
      </c>
      <c r="D162">
        <v>6</v>
      </c>
      <c r="E162">
        <v>131.34</v>
      </c>
      <c r="F162">
        <v>788.04</v>
      </c>
      <c r="G162" t="s">
        <v>14</v>
      </c>
      <c r="H162" t="s">
        <v>36</v>
      </c>
    </row>
    <row r="163" spans="1:8" x14ac:dyDescent="0.3">
      <c r="A163" t="s">
        <v>192</v>
      </c>
      <c r="B163" s="1">
        <v>46194</v>
      </c>
      <c r="C163" t="s">
        <v>35</v>
      </c>
      <c r="D163">
        <v>5</v>
      </c>
      <c r="E163">
        <v>162.13999999999999</v>
      </c>
      <c r="F163">
        <v>810.7</v>
      </c>
      <c r="G163" t="s">
        <v>26</v>
      </c>
      <c r="H163" t="s">
        <v>21</v>
      </c>
    </row>
    <row r="164" spans="1:8" x14ac:dyDescent="0.3">
      <c r="A164" t="s">
        <v>193</v>
      </c>
      <c r="B164" s="1">
        <v>46104</v>
      </c>
      <c r="C164" t="s">
        <v>39</v>
      </c>
      <c r="D164">
        <v>3</v>
      </c>
      <c r="E164">
        <v>202.78</v>
      </c>
      <c r="F164">
        <v>608.34</v>
      </c>
      <c r="G164" t="s">
        <v>26</v>
      </c>
      <c r="H164" t="s">
        <v>11</v>
      </c>
    </row>
    <row r="165" spans="1:8" x14ac:dyDescent="0.3">
      <c r="A165" t="s">
        <v>194</v>
      </c>
      <c r="B165" s="1">
        <v>46126</v>
      </c>
      <c r="C165" t="s">
        <v>13</v>
      </c>
      <c r="D165">
        <v>4</v>
      </c>
      <c r="E165">
        <v>15.58</v>
      </c>
      <c r="F165">
        <v>62.32</v>
      </c>
      <c r="G165" t="s">
        <v>20</v>
      </c>
      <c r="H165" t="s">
        <v>29</v>
      </c>
    </row>
    <row r="166" spans="1:8" x14ac:dyDescent="0.3">
      <c r="A166" t="s">
        <v>195</v>
      </c>
      <c r="B166" s="1">
        <v>46027</v>
      </c>
      <c r="C166" t="s">
        <v>44</v>
      </c>
      <c r="D166">
        <v>4</v>
      </c>
      <c r="E166">
        <v>80.59</v>
      </c>
      <c r="F166">
        <v>322.36</v>
      </c>
      <c r="G166" t="s">
        <v>10</v>
      </c>
      <c r="H166" t="s">
        <v>40</v>
      </c>
    </row>
    <row r="167" spans="1:8" x14ac:dyDescent="0.3">
      <c r="A167" t="s">
        <v>196</v>
      </c>
      <c r="B167" s="1">
        <v>46184</v>
      </c>
      <c r="C167" t="s">
        <v>64</v>
      </c>
      <c r="D167">
        <v>8</v>
      </c>
      <c r="E167">
        <v>82.73</v>
      </c>
      <c r="F167">
        <v>661.84</v>
      </c>
      <c r="G167" t="s">
        <v>26</v>
      </c>
      <c r="H167" t="s">
        <v>40</v>
      </c>
    </row>
    <row r="168" spans="1:8" x14ac:dyDescent="0.3">
      <c r="A168" t="s">
        <v>197</v>
      </c>
      <c r="B168" s="1">
        <v>46163</v>
      </c>
      <c r="C168" t="s">
        <v>19</v>
      </c>
      <c r="D168">
        <v>4</v>
      </c>
      <c r="E168">
        <v>20.57</v>
      </c>
      <c r="F168">
        <v>82.28</v>
      </c>
      <c r="G168" t="s">
        <v>26</v>
      </c>
      <c r="H168" t="s">
        <v>40</v>
      </c>
    </row>
    <row r="169" spans="1:8" x14ac:dyDescent="0.3">
      <c r="A169" t="s">
        <v>198</v>
      </c>
      <c r="B169" s="1">
        <v>46038</v>
      </c>
      <c r="C169" t="s">
        <v>64</v>
      </c>
      <c r="D169">
        <v>5</v>
      </c>
      <c r="E169">
        <v>26.98</v>
      </c>
      <c r="F169">
        <v>134.9</v>
      </c>
      <c r="G169" t="s">
        <v>23</v>
      </c>
      <c r="H169" t="s">
        <v>11</v>
      </c>
    </row>
    <row r="170" spans="1:8" x14ac:dyDescent="0.3">
      <c r="A170" t="s">
        <v>199</v>
      </c>
      <c r="B170" s="1">
        <v>46046</v>
      </c>
      <c r="C170" t="s">
        <v>19</v>
      </c>
      <c r="D170">
        <v>7</v>
      </c>
      <c r="E170">
        <v>216.51</v>
      </c>
      <c r="F170">
        <v>1515.57</v>
      </c>
      <c r="G170" t="s">
        <v>10</v>
      </c>
      <c r="H170" t="s">
        <v>29</v>
      </c>
    </row>
    <row r="171" spans="1:8" x14ac:dyDescent="0.3">
      <c r="A171" t="s">
        <v>200</v>
      </c>
      <c r="B171" s="1">
        <v>46148</v>
      </c>
      <c r="C171" t="s">
        <v>16</v>
      </c>
      <c r="D171">
        <v>6</v>
      </c>
      <c r="E171">
        <v>119.56</v>
      </c>
      <c r="F171">
        <v>717.36</v>
      </c>
      <c r="G171" t="s">
        <v>23</v>
      </c>
      <c r="H171" t="s">
        <v>17</v>
      </c>
    </row>
    <row r="172" spans="1:8" x14ac:dyDescent="0.3">
      <c r="A172" t="s">
        <v>201</v>
      </c>
      <c r="B172" s="1">
        <v>46102</v>
      </c>
      <c r="C172" t="s">
        <v>33</v>
      </c>
      <c r="D172">
        <v>6</v>
      </c>
      <c r="E172">
        <v>67.73</v>
      </c>
      <c r="F172">
        <v>406.38</v>
      </c>
      <c r="G172" t="s">
        <v>26</v>
      </c>
      <c r="H172" t="s">
        <v>40</v>
      </c>
    </row>
    <row r="173" spans="1:8" x14ac:dyDescent="0.3">
      <c r="A173" t="s">
        <v>202</v>
      </c>
      <c r="B173" s="1">
        <v>46193</v>
      </c>
      <c r="C173" t="s">
        <v>31</v>
      </c>
      <c r="D173">
        <v>3</v>
      </c>
      <c r="E173">
        <v>88.69</v>
      </c>
      <c r="F173">
        <v>266.07</v>
      </c>
      <c r="G173" t="s">
        <v>26</v>
      </c>
      <c r="H173" t="s">
        <v>36</v>
      </c>
    </row>
    <row r="174" spans="1:8" x14ac:dyDescent="0.3">
      <c r="A174" t="s">
        <v>203</v>
      </c>
      <c r="B174" s="1">
        <v>46162</v>
      </c>
      <c r="C174" t="s">
        <v>31</v>
      </c>
      <c r="D174">
        <v>7</v>
      </c>
      <c r="E174">
        <v>17.850000000000001</v>
      </c>
      <c r="F174">
        <v>124.95</v>
      </c>
      <c r="G174" t="s">
        <v>26</v>
      </c>
      <c r="H174" t="s">
        <v>17</v>
      </c>
    </row>
    <row r="175" spans="1:8" x14ac:dyDescent="0.3">
      <c r="A175" t="s">
        <v>204</v>
      </c>
      <c r="B175" s="1">
        <v>46149</v>
      </c>
      <c r="C175" t="s">
        <v>19</v>
      </c>
      <c r="D175">
        <v>2</v>
      </c>
      <c r="E175">
        <v>100.99</v>
      </c>
      <c r="F175">
        <v>201.98</v>
      </c>
      <c r="G175" t="s">
        <v>26</v>
      </c>
      <c r="H175" t="s">
        <v>36</v>
      </c>
    </row>
    <row r="176" spans="1:8" x14ac:dyDescent="0.3">
      <c r="A176" t="s">
        <v>205</v>
      </c>
      <c r="B176" s="1">
        <v>46187</v>
      </c>
      <c r="C176" t="s">
        <v>9</v>
      </c>
      <c r="D176">
        <v>1</v>
      </c>
      <c r="E176">
        <v>111.2</v>
      </c>
      <c r="F176">
        <v>111.2</v>
      </c>
      <c r="G176" t="s">
        <v>23</v>
      </c>
      <c r="H176" t="s">
        <v>29</v>
      </c>
    </row>
    <row r="177" spans="1:8" x14ac:dyDescent="0.3">
      <c r="A177" t="s">
        <v>206</v>
      </c>
      <c r="B177" s="1">
        <v>46084</v>
      </c>
      <c r="C177" t="s">
        <v>64</v>
      </c>
      <c r="D177">
        <v>2</v>
      </c>
      <c r="E177">
        <v>101.15</v>
      </c>
      <c r="F177">
        <v>202.3</v>
      </c>
      <c r="G177" t="s">
        <v>14</v>
      </c>
      <c r="H177" t="s">
        <v>17</v>
      </c>
    </row>
    <row r="178" spans="1:8" x14ac:dyDescent="0.3">
      <c r="A178" t="s">
        <v>207</v>
      </c>
      <c r="B178" s="1">
        <v>46182</v>
      </c>
      <c r="C178" t="s">
        <v>13</v>
      </c>
      <c r="D178">
        <v>6</v>
      </c>
      <c r="E178">
        <v>133.08000000000001</v>
      </c>
      <c r="F178">
        <v>798.48</v>
      </c>
      <c r="G178" t="s">
        <v>26</v>
      </c>
      <c r="H178" t="s">
        <v>36</v>
      </c>
    </row>
    <row r="179" spans="1:8" x14ac:dyDescent="0.3">
      <c r="A179" t="s">
        <v>208</v>
      </c>
      <c r="B179" s="1">
        <v>46079</v>
      </c>
      <c r="C179" t="s">
        <v>16</v>
      </c>
      <c r="D179">
        <v>1</v>
      </c>
      <c r="E179">
        <v>230.15</v>
      </c>
      <c r="F179">
        <v>230.15</v>
      </c>
      <c r="G179" t="s">
        <v>20</v>
      </c>
      <c r="H179" t="s">
        <v>21</v>
      </c>
    </row>
    <row r="180" spans="1:8" x14ac:dyDescent="0.3">
      <c r="A180" t="s">
        <v>209</v>
      </c>
      <c r="B180" s="1">
        <v>46075</v>
      </c>
      <c r="C180" t="s">
        <v>25</v>
      </c>
      <c r="D180">
        <v>6</v>
      </c>
      <c r="E180">
        <v>97.76</v>
      </c>
      <c r="F180">
        <v>586.55999999999995</v>
      </c>
      <c r="G180" t="s">
        <v>26</v>
      </c>
      <c r="H180" t="s">
        <v>21</v>
      </c>
    </row>
    <row r="181" spans="1:8" x14ac:dyDescent="0.3">
      <c r="A181" t="s">
        <v>210</v>
      </c>
      <c r="B181" s="1">
        <v>46156</v>
      </c>
      <c r="C181" t="s">
        <v>16</v>
      </c>
      <c r="D181">
        <v>3</v>
      </c>
      <c r="E181">
        <v>71.11</v>
      </c>
      <c r="F181">
        <v>213.33</v>
      </c>
      <c r="G181" t="s">
        <v>20</v>
      </c>
      <c r="H181" t="s">
        <v>11</v>
      </c>
    </row>
    <row r="182" spans="1:8" x14ac:dyDescent="0.3">
      <c r="A182" t="s">
        <v>211</v>
      </c>
      <c r="B182" s="1">
        <v>46195</v>
      </c>
      <c r="C182" t="s">
        <v>33</v>
      </c>
      <c r="D182">
        <v>3</v>
      </c>
      <c r="E182">
        <v>65.77</v>
      </c>
      <c r="F182">
        <v>197.31</v>
      </c>
      <c r="G182" t="s">
        <v>14</v>
      </c>
      <c r="H182" t="s">
        <v>36</v>
      </c>
    </row>
    <row r="183" spans="1:8" x14ac:dyDescent="0.3">
      <c r="A183" t="s">
        <v>212</v>
      </c>
      <c r="B183" s="1">
        <v>46196</v>
      </c>
      <c r="C183" t="s">
        <v>33</v>
      </c>
      <c r="D183">
        <v>1</v>
      </c>
      <c r="E183">
        <v>31.73</v>
      </c>
      <c r="F183">
        <v>31.73</v>
      </c>
      <c r="G183" t="s">
        <v>26</v>
      </c>
      <c r="H183" t="s">
        <v>21</v>
      </c>
    </row>
    <row r="184" spans="1:8" x14ac:dyDescent="0.3">
      <c r="A184" t="s">
        <v>213</v>
      </c>
      <c r="B184" s="1">
        <v>46096</v>
      </c>
      <c r="C184" t="s">
        <v>25</v>
      </c>
      <c r="D184">
        <v>8</v>
      </c>
      <c r="E184">
        <v>99.49</v>
      </c>
      <c r="F184">
        <v>795.92</v>
      </c>
      <c r="G184" t="s">
        <v>10</v>
      </c>
      <c r="H184" t="s">
        <v>11</v>
      </c>
    </row>
    <row r="185" spans="1:8" x14ac:dyDescent="0.3">
      <c r="A185" t="s">
        <v>214</v>
      </c>
      <c r="B185" s="1">
        <v>46189</v>
      </c>
      <c r="C185" t="s">
        <v>44</v>
      </c>
      <c r="D185">
        <v>2</v>
      </c>
      <c r="E185">
        <v>221.17</v>
      </c>
      <c r="F185">
        <v>442.34</v>
      </c>
      <c r="G185" t="s">
        <v>23</v>
      </c>
      <c r="H185" t="s">
        <v>29</v>
      </c>
    </row>
    <row r="186" spans="1:8" x14ac:dyDescent="0.3">
      <c r="A186" t="s">
        <v>215</v>
      </c>
      <c r="B186" s="1">
        <v>46119</v>
      </c>
      <c r="C186" t="s">
        <v>64</v>
      </c>
      <c r="D186">
        <v>2</v>
      </c>
      <c r="E186">
        <v>67.08</v>
      </c>
      <c r="F186">
        <v>134.16</v>
      </c>
      <c r="G186" t="s">
        <v>20</v>
      </c>
      <c r="H186" t="s">
        <v>11</v>
      </c>
    </row>
    <row r="187" spans="1:8" x14ac:dyDescent="0.3">
      <c r="A187" t="s">
        <v>216</v>
      </c>
      <c r="B187" s="1">
        <v>46057</v>
      </c>
      <c r="C187" t="s">
        <v>35</v>
      </c>
      <c r="D187">
        <v>6</v>
      </c>
      <c r="E187">
        <v>33.5</v>
      </c>
      <c r="F187">
        <v>201</v>
      </c>
      <c r="G187" t="s">
        <v>26</v>
      </c>
      <c r="H187" t="s">
        <v>29</v>
      </c>
    </row>
    <row r="188" spans="1:8" x14ac:dyDescent="0.3">
      <c r="A188" t="s">
        <v>217</v>
      </c>
      <c r="B188" s="1">
        <v>46092</v>
      </c>
      <c r="C188" t="s">
        <v>64</v>
      </c>
      <c r="D188">
        <v>5</v>
      </c>
      <c r="E188">
        <v>50.2</v>
      </c>
      <c r="F188">
        <v>251</v>
      </c>
      <c r="G188" t="s">
        <v>26</v>
      </c>
      <c r="H188" t="s">
        <v>40</v>
      </c>
    </row>
    <row r="189" spans="1:8" x14ac:dyDescent="0.3">
      <c r="A189" t="s">
        <v>218</v>
      </c>
      <c r="B189" s="1">
        <v>46101</v>
      </c>
      <c r="C189" t="s">
        <v>13</v>
      </c>
      <c r="D189">
        <v>6</v>
      </c>
      <c r="E189">
        <v>58.2</v>
      </c>
      <c r="F189">
        <v>349.2</v>
      </c>
      <c r="G189" t="s">
        <v>20</v>
      </c>
      <c r="H189" t="s">
        <v>17</v>
      </c>
    </row>
    <row r="190" spans="1:8" x14ac:dyDescent="0.3">
      <c r="A190" t="s">
        <v>219</v>
      </c>
      <c r="B190" s="1">
        <v>46121</v>
      </c>
      <c r="C190" t="s">
        <v>13</v>
      </c>
      <c r="D190">
        <v>8</v>
      </c>
      <c r="E190">
        <v>94.53</v>
      </c>
      <c r="F190">
        <v>756.24</v>
      </c>
      <c r="G190" t="s">
        <v>20</v>
      </c>
      <c r="H190" t="s">
        <v>36</v>
      </c>
    </row>
    <row r="191" spans="1:8" x14ac:dyDescent="0.3">
      <c r="A191" t="s">
        <v>220</v>
      </c>
      <c r="B191" s="1">
        <v>46130</v>
      </c>
      <c r="C191" t="s">
        <v>31</v>
      </c>
      <c r="D191">
        <v>1</v>
      </c>
      <c r="E191">
        <v>95.14</v>
      </c>
      <c r="F191">
        <v>95.14</v>
      </c>
      <c r="G191" t="s">
        <v>26</v>
      </c>
      <c r="H191" t="s">
        <v>17</v>
      </c>
    </row>
    <row r="192" spans="1:8" x14ac:dyDescent="0.3">
      <c r="A192" t="s">
        <v>221</v>
      </c>
      <c r="B192" s="1">
        <v>46156</v>
      </c>
      <c r="C192" t="s">
        <v>39</v>
      </c>
      <c r="D192">
        <v>4</v>
      </c>
      <c r="E192">
        <v>166.53</v>
      </c>
      <c r="F192">
        <v>666.12</v>
      </c>
      <c r="G192" t="s">
        <v>26</v>
      </c>
      <c r="H192" t="s">
        <v>36</v>
      </c>
    </row>
    <row r="193" spans="1:8" x14ac:dyDescent="0.3">
      <c r="A193" t="s">
        <v>222</v>
      </c>
      <c r="B193" s="1">
        <v>46116</v>
      </c>
      <c r="C193" t="s">
        <v>19</v>
      </c>
      <c r="D193">
        <v>7</v>
      </c>
      <c r="E193">
        <v>80.180000000000007</v>
      </c>
      <c r="F193">
        <v>561.26</v>
      </c>
      <c r="G193" t="s">
        <v>14</v>
      </c>
      <c r="H193" t="s">
        <v>21</v>
      </c>
    </row>
    <row r="194" spans="1:8" x14ac:dyDescent="0.3">
      <c r="A194" t="s">
        <v>223</v>
      </c>
      <c r="B194" s="1">
        <v>46084</v>
      </c>
      <c r="C194" t="s">
        <v>25</v>
      </c>
      <c r="D194">
        <v>4</v>
      </c>
      <c r="E194">
        <v>225.85</v>
      </c>
      <c r="F194">
        <v>903.4</v>
      </c>
      <c r="G194" t="s">
        <v>26</v>
      </c>
      <c r="H194" t="s">
        <v>17</v>
      </c>
    </row>
    <row r="195" spans="1:8" x14ac:dyDescent="0.3">
      <c r="A195" t="s">
        <v>224</v>
      </c>
      <c r="B195" s="1">
        <v>46112</v>
      </c>
      <c r="C195" t="s">
        <v>28</v>
      </c>
      <c r="D195">
        <v>4</v>
      </c>
      <c r="E195">
        <v>213.73</v>
      </c>
      <c r="F195">
        <v>854.92</v>
      </c>
      <c r="G195" t="s">
        <v>26</v>
      </c>
      <c r="H195" t="s">
        <v>21</v>
      </c>
    </row>
    <row r="196" spans="1:8" x14ac:dyDescent="0.3">
      <c r="A196" t="s">
        <v>225</v>
      </c>
      <c r="B196" s="1">
        <v>46024</v>
      </c>
      <c r="C196" t="s">
        <v>19</v>
      </c>
      <c r="D196">
        <v>6</v>
      </c>
      <c r="E196">
        <v>235.01</v>
      </c>
      <c r="F196">
        <v>1410.06</v>
      </c>
      <c r="G196" t="s">
        <v>10</v>
      </c>
      <c r="H196" t="s">
        <v>11</v>
      </c>
    </row>
    <row r="197" spans="1:8" x14ac:dyDescent="0.3">
      <c r="A197" t="s">
        <v>226</v>
      </c>
      <c r="B197" s="1">
        <v>46048</v>
      </c>
      <c r="C197" t="s">
        <v>39</v>
      </c>
      <c r="D197">
        <v>4</v>
      </c>
      <c r="E197">
        <v>177.54</v>
      </c>
      <c r="F197">
        <v>710.16</v>
      </c>
      <c r="G197" t="s">
        <v>23</v>
      </c>
      <c r="H197" t="s">
        <v>36</v>
      </c>
    </row>
    <row r="198" spans="1:8" x14ac:dyDescent="0.3">
      <c r="A198" t="s">
        <v>227</v>
      </c>
      <c r="B198" s="1">
        <v>46024</v>
      </c>
      <c r="C198" t="s">
        <v>28</v>
      </c>
      <c r="D198">
        <v>6</v>
      </c>
      <c r="E198">
        <v>210.8</v>
      </c>
      <c r="F198">
        <v>1264.8</v>
      </c>
      <c r="G198" t="s">
        <v>20</v>
      </c>
      <c r="H198" t="s">
        <v>21</v>
      </c>
    </row>
    <row r="199" spans="1:8" x14ac:dyDescent="0.3">
      <c r="A199" t="s">
        <v>228</v>
      </c>
      <c r="B199" s="1">
        <v>46099</v>
      </c>
      <c r="C199" t="s">
        <v>13</v>
      </c>
      <c r="D199">
        <v>1</v>
      </c>
      <c r="E199">
        <v>10.1</v>
      </c>
      <c r="F199">
        <v>10.1</v>
      </c>
      <c r="G199" t="s">
        <v>14</v>
      </c>
      <c r="H199" t="s">
        <v>36</v>
      </c>
    </row>
    <row r="200" spans="1:8" x14ac:dyDescent="0.3">
      <c r="A200" t="s">
        <v>229</v>
      </c>
      <c r="B200" s="1">
        <v>46038</v>
      </c>
      <c r="C200" t="s">
        <v>39</v>
      </c>
      <c r="D200">
        <v>8</v>
      </c>
      <c r="E200">
        <v>192.08</v>
      </c>
      <c r="F200">
        <v>1536.64</v>
      </c>
      <c r="G200" t="s">
        <v>10</v>
      </c>
      <c r="H200" t="s">
        <v>29</v>
      </c>
    </row>
    <row r="201" spans="1:8" x14ac:dyDescent="0.3">
      <c r="A201" t="s">
        <v>230</v>
      </c>
      <c r="B201" s="1">
        <v>46026</v>
      </c>
      <c r="C201" t="s">
        <v>28</v>
      </c>
      <c r="D201">
        <v>6</v>
      </c>
      <c r="E201">
        <v>134.68</v>
      </c>
      <c r="F201">
        <v>808.08</v>
      </c>
      <c r="G201" t="s">
        <v>10</v>
      </c>
      <c r="H201" t="s">
        <v>36</v>
      </c>
    </row>
    <row r="202" spans="1:8" x14ac:dyDescent="0.3">
      <c r="A202" t="s">
        <v>231</v>
      </c>
      <c r="B202" s="1">
        <v>46084</v>
      </c>
      <c r="C202" t="s">
        <v>44</v>
      </c>
      <c r="D202">
        <v>4</v>
      </c>
      <c r="E202">
        <v>24.02</v>
      </c>
      <c r="F202">
        <v>96.08</v>
      </c>
      <c r="G202" t="s">
        <v>23</v>
      </c>
      <c r="H202" t="s">
        <v>40</v>
      </c>
    </row>
    <row r="203" spans="1:8" x14ac:dyDescent="0.3">
      <c r="A203" t="s">
        <v>232</v>
      </c>
      <c r="B203" s="1">
        <v>46178</v>
      </c>
      <c r="C203" t="s">
        <v>33</v>
      </c>
      <c r="D203">
        <v>7</v>
      </c>
      <c r="E203">
        <v>90.5</v>
      </c>
      <c r="F203">
        <v>633.5</v>
      </c>
      <c r="G203" t="s">
        <v>20</v>
      </c>
      <c r="H203" t="s">
        <v>17</v>
      </c>
    </row>
    <row r="204" spans="1:8" x14ac:dyDescent="0.3">
      <c r="A204" t="s">
        <v>233</v>
      </c>
      <c r="B204" s="1">
        <v>46171</v>
      </c>
      <c r="C204" t="s">
        <v>31</v>
      </c>
      <c r="D204">
        <v>4</v>
      </c>
      <c r="E204">
        <v>189.38</v>
      </c>
      <c r="F204">
        <v>757.52</v>
      </c>
      <c r="G204" t="s">
        <v>26</v>
      </c>
      <c r="H204" t="s">
        <v>29</v>
      </c>
    </row>
    <row r="205" spans="1:8" x14ac:dyDescent="0.3">
      <c r="A205" t="s">
        <v>234</v>
      </c>
      <c r="B205" s="1">
        <v>46038</v>
      </c>
      <c r="C205" t="s">
        <v>13</v>
      </c>
      <c r="D205">
        <v>6</v>
      </c>
      <c r="E205">
        <v>102.39</v>
      </c>
      <c r="F205">
        <v>614.34</v>
      </c>
      <c r="G205" t="s">
        <v>23</v>
      </c>
      <c r="H205" t="s">
        <v>36</v>
      </c>
    </row>
    <row r="206" spans="1:8" x14ac:dyDescent="0.3">
      <c r="A206" t="s">
        <v>235</v>
      </c>
      <c r="B206" s="1">
        <v>46139</v>
      </c>
      <c r="C206" t="s">
        <v>31</v>
      </c>
      <c r="D206">
        <v>4</v>
      </c>
      <c r="E206">
        <v>221.55</v>
      </c>
      <c r="F206">
        <v>886.2</v>
      </c>
      <c r="G206" t="s">
        <v>14</v>
      </c>
      <c r="H206" t="s">
        <v>40</v>
      </c>
    </row>
    <row r="207" spans="1:8" x14ac:dyDescent="0.3">
      <c r="A207" t="s">
        <v>236</v>
      </c>
      <c r="B207" s="1">
        <v>46050</v>
      </c>
      <c r="C207" t="s">
        <v>13</v>
      </c>
      <c r="D207">
        <v>7</v>
      </c>
      <c r="E207">
        <v>229.99</v>
      </c>
      <c r="F207">
        <v>1609.93</v>
      </c>
      <c r="G207" t="s">
        <v>14</v>
      </c>
      <c r="H207" t="s">
        <v>29</v>
      </c>
    </row>
    <row r="208" spans="1:8" x14ac:dyDescent="0.3">
      <c r="A208" t="s">
        <v>237</v>
      </c>
      <c r="B208" s="1">
        <v>46142</v>
      </c>
      <c r="C208" t="s">
        <v>44</v>
      </c>
      <c r="D208">
        <v>3</v>
      </c>
      <c r="E208">
        <v>107.72</v>
      </c>
      <c r="F208">
        <v>323.16000000000003</v>
      </c>
      <c r="G208" t="s">
        <v>10</v>
      </c>
      <c r="H208" t="s">
        <v>36</v>
      </c>
    </row>
    <row r="209" spans="1:8" x14ac:dyDescent="0.3">
      <c r="A209" t="s">
        <v>238</v>
      </c>
      <c r="B209" s="1">
        <v>46051</v>
      </c>
      <c r="C209" t="s">
        <v>64</v>
      </c>
      <c r="D209">
        <v>3</v>
      </c>
      <c r="E209">
        <v>25.74</v>
      </c>
      <c r="F209">
        <v>77.22</v>
      </c>
      <c r="G209" t="s">
        <v>20</v>
      </c>
      <c r="H209" t="s">
        <v>11</v>
      </c>
    </row>
    <row r="210" spans="1:8" x14ac:dyDescent="0.3">
      <c r="A210" t="s">
        <v>239</v>
      </c>
      <c r="B210" s="1">
        <v>46120</v>
      </c>
      <c r="C210" t="s">
        <v>35</v>
      </c>
      <c r="D210">
        <v>3</v>
      </c>
      <c r="E210">
        <v>165.15</v>
      </c>
      <c r="F210">
        <v>495.45</v>
      </c>
      <c r="G210" t="s">
        <v>20</v>
      </c>
      <c r="H210" t="s">
        <v>11</v>
      </c>
    </row>
    <row r="211" spans="1:8" x14ac:dyDescent="0.3">
      <c r="A211" t="s">
        <v>240</v>
      </c>
      <c r="B211" s="1">
        <v>46053</v>
      </c>
      <c r="C211" t="s">
        <v>16</v>
      </c>
      <c r="D211">
        <v>4</v>
      </c>
      <c r="E211">
        <v>192.3</v>
      </c>
      <c r="F211">
        <v>769.2</v>
      </c>
      <c r="G211" t="s">
        <v>20</v>
      </c>
      <c r="H211" t="s">
        <v>36</v>
      </c>
    </row>
    <row r="212" spans="1:8" x14ac:dyDescent="0.3">
      <c r="A212" t="s">
        <v>241</v>
      </c>
      <c r="B212" s="1">
        <v>46156</v>
      </c>
      <c r="C212" t="s">
        <v>25</v>
      </c>
      <c r="D212">
        <v>8</v>
      </c>
      <c r="E212">
        <v>222.49</v>
      </c>
      <c r="F212">
        <v>1779.92</v>
      </c>
      <c r="G212" t="s">
        <v>23</v>
      </c>
      <c r="H212" t="s">
        <v>40</v>
      </c>
    </row>
    <row r="213" spans="1:8" x14ac:dyDescent="0.3">
      <c r="A213" t="s">
        <v>242</v>
      </c>
      <c r="B213" s="1">
        <v>46193</v>
      </c>
      <c r="C213" t="s">
        <v>16</v>
      </c>
      <c r="D213">
        <v>4</v>
      </c>
      <c r="E213">
        <v>176.62</v>
      </c>
      <c r="F213">
        <v>706.48</v>
      </c>
      <c r="G213" t="s">
        <v>14</v>
      </c>
      <c r="H213" t="s">
        <v>17</v>
      </c>
    </row>
    <row r="214" spans="1:8" x14ac:dyDescent="0.3">
      <c r="A214" t="s">
        <v>243</v>
      </c>
      <c r="B214" s="1">
        <v>46104</v>
      </c>
      <c r="C214" t="s">
        <v>64</v>
      </c>
      <c r="D214">
        <v>4</v>
      </c>
      <c r="E214">
        <v>19.88</v>
      </c>
      <c r="F214">
        <v>79.52</v>
      </c>
      <c r="G214" t="s">
        <v>20</v>
      </c>
      <c r="H214" t="s">
        <v>11</v>
      </c>
    </row>
    <row r="215" spans="1:8" x14ac:dyDescent="0.3">
      <c r="A215" t="s">
        <v>244</v>
      </c>
      <c r="B215" s="1">
        <v>46032</v>
      </c>
      <c r="C215" t="s">
        <v>39</v>
      </c>
      <c r="D215">
        <v>6</v>
      </c>
      <c r="E215">
        <v>80.459999999999994</v>
      </c>
      <c r="F215">
        <v>482.76</v>
      </c>
      <c r="G215" t="s">
        <v>20</v>
      </c>
      <c r="H215" t="s">
        <v>21</v>
      </c>
    </row>
    <row r="216" spans="1:8" x14ac:dyDescent="0.3">
      <c r="A216" t="s">
        <v>245</v>
      </c>
      <c r="B216" s="1">
        <v>46122</v>
      </c>
      <c r="C216" t="s">
        <v>19</v>
      </c>
      <c r="D216">
        <v>8</v>
      </c>
      <c r="E216">
        <v>59.83</v>
      </c>
      <c r="F216">
        <v>478.64</v>
      </c>
      <c r="G216" t="s">
        <v>10</v>
      </c>
      <c r="H216" t="s">
        <v>29</v>
      </c>
    </row>
    <row r="217" spans="1:8" x14ac:dyDescent="0.3">
      <c r="A217" t="s">
        <v>246</v>
      </c>
      <c r="B217" s="1">
        <v>46141</v>
      </c>
      <c r="C217" t="s">
        <v>33</v>
      </c>
      <c r="D217">
        <v>6</v>
      </c>
      <c r="E217">
        <v>247.09</v>
      </c>
      <c r="F217">
        <v>1482.54</v>
      </c>
      <c r="G217" t="s">
        <v>23</v>
      </c>
      <c r="H217" t="s">
        <v>29</v>
      </c>
    </row>
    <row r="218" spans="1:8" x14ac:dyDescent="0.3">
      <c r="A218" t="s">
        <v>247</v>
      </c>
      <c r="B218" s="1">
        <v>46055</v>
      </c>
      <c r="C218" t="s">
        <v>33</v>
      </c>
      <c r="D218">
        <v>8</v>
      </c>
      <c r="E218">
        <v>75.78</v>
      </c>
      <c r="F218">
        <v>606.24</v>
      </c>
      <c r="G218" t="s">
        <v>10</v>
      </c>
      <c r="H218" t="s">
        <v>29</v>
      </c>
    </row>
    <row r="219" spans="1:8" x14ac:dyDescent="0.3">
      <c r="A219" t="s">
        <v>248</v>
      </c>
      <c r="B219" s="1">
        <v>46125</v>
      </c>
      <c r="C219" t="s">
        <v>13</v>
      </c>
      <c r="D219">
        <v>8</v>
      </c>
      <c r="E219">
        <v>84.2</v>
      </c>
      <c r="F219">
        <v>673.6</v>
      </c>
      <c r="G219" t="s">
        <v>14</v>
      </c>
      <c r="H219" t="s">
        <v>40</v>
      </c>
    </row>
    <row r="220" spans="1:8" x14ac:dyDescent="0.3">
      <c r="A220" t="s">
        <v>249</v>
      </c>
      <c r="B220" s="1">
        <v>46194</v>
      </c>
      <c r="C220" t="s">
        <v>31</v>
      </c>
      <c r="D220">
        <v>6</v>
      </c>
      <c r="E220">
        <v>176.53</v>
      </c>
      <c r="F220">
        <v>1059.18</v>
      </c>
      <c r="G220" t="s">
        <v>20</v>
      </c>
      <c r="H220" t="s">
        <v>17</v>
      </c>
    </row>
    <row r="221" spans="1:8" x14ac:dyDescent="0.3">
      <c r="A221" t="s">
        <v>250</v>
      </c>
      <c r="B221" s="1">
        <v>46137</v>
      </c>
      <c r="C221" t="s">
        <v>28</v>
      </c>
      <c r="D221">
        <v>1</v>
      </c>
      <c r="E221">
        <v>41.52</v>
      </c>
      <c r="F221">
        <v>41.52</v>
      </c>
      <c r="G221" t="s">
        <v>23</v>
      </c>
      <c r="H221" t="s">
        <v>17</v>
      </c>
    </row>
    <row r="222" spans="1:8" x14ac:dyDescent="0.3">
      <c r="A222" t="s">
        <v>251</v>
      </c>
      <c r="B222" s="1">
        <v>46192</v>
      </c>
      <c r="C222" t="s">
        <v>9</v>
      </c>
      <c r="D222">
        <v>8</v>
      </c>
      <c r="E222">
        <v>170.93</v>
      </c>
      <c r="F222">
        <v>1367.44</v>
      </c>
      <c r="G222" t="s">
        <v>14</v>
      </c>
      <c r="H222" t="s">
        <v>36</v>
      </c>
    </row>
    <row r="223" spans="1:8" x14ac:dyDescent="0.3">
      <c r="A223" t="s">
        <v>252</v>
      </c>
      <c r="B223" s="1">
        <v>46046</v>
      </c>
      <c r="C223" t="s">
        <v>16</v>
      </c>
      <c r="D223">
        <v>6</v>
      </c>
      <c r="E223">
        <v>95.04</v>
      </c>
      <c r="F223">
        <v>570.24</v>
      </c>
      <c r="G223" t="s">
        <v>26</v>
      </c>
      <c r="H223" t="s">
        <v>36</v>
      </c>
    </row>
    <row r="224" spans="1:8" x14ac:dyDescent="0.3">
      <c r="A224" t="s">
        <v>253</v>
      </c>
      <c r="B224" s="1">
        <v>46197</v>
      </c>
      <c r="C224" t="s">
        <v>44</v>
      </c>
      <c r="D224">
        <v>5</v>
      </c>
      <c r="E224">
        <v>69.34</v>
      </c>
      <c r="F224">
        <v>346.7</v>
      </c>
      <c r="G224" t="s">
        <v>23</v>
      </c>
      <c r="H224" t="s">
        <v>21</v>
      </c>
    </row>
    <row r="225" spans="1:8" x14ac:dyDescent="0.3">
      <c r="A225" t="s">
        <v>254</v>
      </c>
      <c r="B225" s="1">
        <v>46141</v>
      </c>
      <c r="C225" t="s">
        <v>31</v>
      </c>
      <c r="D225">
        <v>6</v>
      </c>
      <c r="E225">
        <v>84.34</v>
      </c>
      <c r="F225">
        <v>506.04</v>
      </c>
      <c r="G225" t="s">
        <v>10</v>
      </c>
      <c r="H225" t="s">
        <v>29</v>
      </c>
    </row>
    <row r="226" spans="1:8" x14ac:dyDescent="0.3">
      <c r="A226" t="s">
        <v>255</v>
      </c>
      <c r="B226" s="1">
        <v>46083</v>
      </c>
      <c r="C226" t="s">
        <v>19</v>
      </c>
      <c r="D226">
        <v>7</v>
      </c>
      <c r="E226">
        <v>229.31</v>
      </c>
      <c r="F226">
        <v>1605.17</v>
      </c>
      <c r="G226" t="s">
        <v>20</v>
      </c>
      <c r="H226" t="s">
        <v>17</v>
      </c>
    </row>
    <row r="227" spans="1:8" x14ac:dyDescent="0.3">
      <c r="A227" t="s">
        <v>256</v>
      </c>
      <c r="B227" s="1">
        <v>46068</v>
      </c>
      <c r="C227" t="s">
        <v>16</v>
      </c>
      <c r="D227">
        <v>6</v>
      </c>
      <c r="E227">
        <v>94.56</v>
      </c>
      <c r="F227">
        <v>567.36</v>
      </c>
      <c r="G227" t="s">
        <v>14</v>
      </c>
      <c r="H227" t="s">
        <v>29</v>
      </c>
    </row>
    <row r="228" spans="1:8" x14ac:dyDescent="0.3">
      <c r="A228" t="s">
        <v>257</v>
      </c>
      <c r="B228" s="1">
        <v>46102</v>
      </c>
      <c r="C228" t="s">
        <v>64</v>
      </c>
      <c r="D228">
        <v>2</v>
      </c>
      <c r="E228">
        <v>69.33</v>
      </c>
      <c r="F228">
        <v>138.66</v>
      </c>
      <c r="G228" t="s">
        <v>26</v>
      </c>
      <c r="H228" t="s">
        <v>29</v>
      </c>
    </row>
    <row r="229" spans="1:8" x14ac:dyDescent="0.3">
      <c r="A229" t="s">
        <v>258</v>
      </c>
      <c r="B229" s="1">
        <v>46119</v>
      </c>
      <c r="C229" t="s">
        <v>64</v>
      </c>
      <c r="D229">
        <v>5</v>
      </c>
      <c r="E229">
        <v>188.12</v>
      </c>
      <c r="F229">
        <v>940.6</v>
      </c>
      <c r="G229" t="s">
        <v>23</v>
      </c>
      <c r="H229" t="s">
        <v>36</v>
      </c>
    </row>
    <row r="230" spans="1:8" x14ac:dyDescent="0.3">
      <c r="A230" t="s">
        <v>259</v>
      </c>
      <c r="B230" s="1">
        <v>46201</v>
      </c>
      <c r="C230" t="s">
        <v>35</v>
      </c>
      <c r="D230">
        <v>1</v>
      </c>
      <c r="E230">
        <v>246.25</v>
      </c>
      <c r="F230">
        <v>246.25</v>
      </c>
      <c r="G230" t="s">
        <v>23</v>
      </c>
      <c r="H230" t="s">
        <v>36</v>
      </c>
    </row>
    <row r="231" spans="1:8" x14ac:dyDescent="0.3">
      <c r="A231" t="s">
        <v>260</v>
      </c>
      <c r="B231" s="1">
        <v>46167</v>
      </c>
      <c r="C231" t="s">
        <v>19</v>
      </c>
      <c r="D231">
        <v>3</v>
      </c>
      <c r="E231">
        <v>112.88</v>
      </c>
      <c r="F231">
        <v>338.64</v>
      </c>
      <c r="G231" t="s">
        <v>10</v>
      </c>
      <c r="H231" t="s">
        <v>36</v>
      </c>
    </row>
    <row r="232" spans="1:8" x14ac:dyDescent="0.3">
      <c r="A232" t="s">
        <v>261</v>
      </c>
      <c r="B232" s="1">
        <v>46187</v>
      </c>
      <c r="C232" t="s">
        <v>25</v>
      </c>
      <c r="D232">
        <v>1</v>
      </c>
      <c r="E232">
        <v>231.32</v>
      </c>
      <c r="F232">
        <v>231.32</v>
      </c>
      <c r="G232" t="s">
        <v>10</v>
      </c>
      <c r="H232" t="s">
        <v>17</v>
      </c>
    </row>
    <row r="233" spans="1:8" x14ac:dyDescent="0.3">
      <c r="A233" t="s">
        <v>262</v>
      </c>
      <c r="B233" s="1">
        <v>46191</v>
      </c>
      <c r="C233" t="s">
        <v>16</v>
      </c>
      <c r="D233">
        <v>6</v>
      </c>
      <c r="E233">
        <v>22.2</v>
      </c>
      <c r="F233">
        <v>133.19999999999999</v>
      </c>
      <c r="G233" t="s">
        <v>14</v>
      </c>
      <c r="H233" t="s">
        <v>29</v>
      </c>
    </row>
    <row r="234" spans="1:8" x14ac:dyDescent="0.3">
      <c r="A234" t="s">
        <v>263</v>
      </c>
      <c r="B234" s="1">
        <v>46193</v>
      </c>
      <c r="C234" t="s">
        <v>44</v>
      </c>
      <c r="D234">
        <v>1</v>
      </c>
      <c r="E234">
        <v>183.55</v>
      </c>
      <c r="F234">
        <v>183.55</v>
      </c>
      <c r="G234" t="s">
        <v>26</v>
      </c>
      <c r="H234" t="s">
        <v>21</v>
      </c>
    </row>
    <row r="235" spans="1:8" x14ac:dyDescent="0.3">
      <c r="A235" t="s">
        <v>264</v>
      </c>
      <c r="B235" s="1">
        <v>46104</v>
      </c>
      <c r="C235" t="s">
        <v>35</v>
      </c>
      <c r="D235">
        <v>3</v>
      </c>
      <c r="E235">
        <v>108.9</v>
      </c>
      <c r="F235">
        <v>326.7</v>
      </c>
      <c r="G235" t="s">
        <v>23</v>
      </c>
      <c r="H235" t="s">
        <v>11</v>
      </c>
    </row>
    <row r="236" spans="1:8" x14ac:dyDescent="0.3">
      <c r="A236" t="s">
        <v>265</v>
      </c>
      <c r="B236" s="1">
        <v>46057</v>
      </c>
      <c r="C236" t="s">
        <v>44</v>
      </c>
      <c r="D236">
        <v>3</v>
      </c>
      <c r="E236">
        <v>51.62</v>
      </c>
      <c r="F236">
        <v>154.86000000000001</v>
      </c>
      <c r="G236" t="s">
        <v>10</v>
      </c>
      <c r="H236" t="s">
        <v>17</v>
      </c>
    </row>
    <row r="237" spans="1:8" x14ac:dyDescent="0.3">
      <c r="A237" t="s">
        <v>266</v>
      </c>
      <c r="B237" s="1">
        <v>46029</v>
      </c>
      <c r="C237" t="s">
        <v>35</v>
      </c>
      <c r="D237">
        <v>2</v>
      </c>
      <c r="E237">
        <v>115.03</v>
      </c>
      <c r="F237">
        <v>230.06</v>
      </c>
      <c r="G237" t="s">
        <v>26</v>
      </c>
      <c r="H237" t="s">
        <v>40</v>
      </c>
    </row>
    <row r="238" spans="1:8" x14ac:dyDescent="0.3">
      <c r="A238" t="s">
        <v>267</v>
      </c>
      <c r="B238" s="1">
        <v>46191</v>
      </c>
      <c r="C238" t="s">
        <v>28</v>
      </c>
      <c r="D238">
        <v>8</v>
      </c>
      <c r="E238">
        <v>208.4</v>
      </c>
      <c r="F238">
        <v>1667.2</v>
      </c>
      <c r="G238" t="s">
        <v>10</v>
      </c>
      <c r="H238" t="s">
        <v>11</v>
      </c>
    </row>
    <row r="239" spans="1:8" x14ac:dyDescent="0.3">
      <c r="A239" t="s">
        <v>268</v>
      </c>
      <c r="B239" s="1">
        <v>46167</v>
      </c>
      <c r="C239" t="s">
        <v>39</v>
      </c>
      <c r="D239">
        <v>2</v>
      </c>
      <c r="E239">
        <v>137.09</v>
      </c>
      <c r="F239">
        <v>274.18</v>
      </c>
      <c r="G239" t="s">
        <v>20</v>
      </c>
      <c r="H239" t="s">
        <v>29</v>
      </c>
    </row>
    <row r="240" spans="1:8" x14ac:dyDescent="0.3">
      <c r="A240" t="s">
        <v>269</v>
      </c>
      <c r="B240" s="1">
        <v>46157</v>
      </c>
      <c r="C240" t="s">
        <v>25</v>
      </c>
      <c r="D240">
        <v>6</v>
      </c>
      <c r="E240">
        <v>163.43</v>
      </c>
      <c r="F240">
        <v>980.58</v>
      </c>
      <c r="G240" t="s">
        <v>14</v>
      </c>
      <c r="H240" t="s">
        <v>21</v>
      </c>
    </row>
    <row r="241" spans="1:8" x14ac:dyDescent="0.3">
      <c r="A241" t="s">
        <v>270</v>
      </c>
      <c r="B241" s="1">
        <v>46116</v>
      </c>
      <c r="C241" t="s">
        <v>19</v>
      </c>
      <c r="D241">
        <v>6</v>
      </c>
      <c r="E241">
        <v>160.47</v>
      </c>
      <c r="F241">
        <v>962.82</v>
      </c>
      <c r="G241" t="s">
        <v>23</v>
      </c>
      <c r="H2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Sales_Dashboard</vt:lpstr>
      <vt:lpstr>Regional_Analysis</vt:lpstr>
      <vt:lpstr>Product_Analysis</vt:lpstr>
      <vt:lpstr>KPI Summary</vt:lpstr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</dc:creator>
  <cp:lastModifiedBy>pushkar Sharma</cp:lastModifiedBy>
  <dcterms:created xsi:type="dcterms:W3CDTF">2026-10-26T10:40:15Z</dcterms:created>
  <dcterms:modified xsi:type="dcterms:W3CDTF">2026-10-26T10:41:42Z</dcterms:modified>
</cp:coreProperties>
</file>